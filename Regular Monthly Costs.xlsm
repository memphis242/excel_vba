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dusbpos-my.sharepoint.com/personal/abdullah_almosalami_ndus_edu/Documents/Documents/Personal Finance/"/>
    </mc:Choice>
  </mc:AlternateContent>
  <xr:revisionPtr revIDLastSave="8694" documentId="8_{417041AC-617F-4080-AC70-1E9D9ECE501E}" xr6:coauthVersionLast="47" xr6:coauthVersionMax="47" xr10:uidLastSave="{CC7CB944-902F-4145-85D9-AA0A4CD6C62F}"/>
  <bookViews>
    <workbookView xWindow="-120" yWindow="-120" windowWidth="29040" windowHeight="15840" activeTab="2" xr2:uid="{6EE0167A-686B-4860-87CB-E05ED3445804}"/>
  </bookViews>
  <sheets>
    <sheet name="Regular Costs" sheetId="1" r:id="rId1"/>
    <sheet name="Nov &amp; Dec 2021" sheetId="2" r:id="rId2"/>
    <sheet name="Analysis" sheetId="3" r:id="rId3"/>
    <sheet name="Analysis (2)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5" i="5" l="1"/>
  <c r="O3" i="2"/>
  <c r="O13" i="2" s="1"/>
  <c r="R12" i="2"/>
  <c r="R11" i="2"/>
  <c r="R10" i="2"/>
  <c r="R9" i="2"/>
  <c r="R6" i="2"/>
  <c r="R5" i="2"/>
  <c r="R4" i="2"/>
  <c r="R3" i="2"/>
  <c r="R7" i="2"/>
  <c r="R8" i="2"/>
  <c r="O12" i="2"/>
  <c r="O11" i="2"/>
  <c r="O10" i="2"/>
  <c r="O9" i="2"/>
  <c r="O8" i="2"/>
  <c r="O7" i="2"/>
  <c r="O6" i="2"/>
  <c r="O5" i="2"/>
  <c r="O4" i="2"/>
  <c r="G16" i="1"/>
  <c r="C15" i="1"/>
  <c r="C6" i="1"/>
  <c r="G7" i="1"/>
  <c r="G8" i="1"/>
  <c r="G6" i="1"/>
  <c r="G5" i="1"/>
  <c r="G15" i="1" l="1"/>
  <c r="C13" i="1"/>
</calcChain>
</file>

<file path=xl/sharedStrings.xml><?xml version="1.0" encoding="utf-8"?>
<sst xmlns="http://schemas.openxmlformats.org/spreadsheetml/2006/main" count="641" uniqueCount="88">
  <si>
    <t>Fubo</t>
  </si>
  <si>
    <t>Patreon</t>
  </si>
  <si>
    <t>Google Drive</t>
  </si>
  <si>
    <t>Funimation</t>
  </si>
  <si>
    <t>Spotify</t>
  </si>
  <si>
    <t>ESPN+</t>
  </si>
  <si>
    <t>Gofundme</t>
  </si>
  <si>
    <t>Samsung Drive</t>
  </si>
  <si>
    <t>GreatClips</t>
  </si>
  <si>
    <t>Fargo Space Center</t>
  </si>
  <si>
    <t>Phone Bill</t>
  </si>
  <si>
    <t>Recurring Bills &amp; Subs</t>
  </si>
  <si>
    <t>Miscellaneous</t>
  </si>
  <si>
    <t>Light Blue Jeans</t>
  </si>
  <si>
    <t>3 Shirts + Short</t>
  </si>
  <si>
    <t>Outdoors Stuff</t>
  </si>
  <si>
    <t>Travel-Related</t>
  </si>
  <si>
    <t>Fun-Related</t>
  </si>
  <si>
    <t>Car Maintenance</t>
  </si>
  <si>
    <t>Date</t>
  </si>
  <si>
    <t>Description</t>
  </si>
  <si>
    <t>Amount</t>
  </si>
  <si>
    <t>Category</t>
  </si>
  <si>
    <t>Square Elite Food Sfargo</t>
  </si>
  <si>
    <t>Food</t>
  </si>
  <si>
    <t>365 Retail Markets</t>
  </si>
  <si>
    <t>Misc</t>
  </si>
  <si>
    <t>Amazon</t>
  </si>
  <si>
    <t>DigiKey</t>
  </si>
  <si>
    <t>Project</t>
  </si>
  <si>
    <t>Fitbit</t>
  </si>
  <si>
    <t>Gift</t>
  </si>
  <si>
    <t>Herff Jones</t>
  </si>
  <si>
    <t>Bills/Subs</t>
  </si>
  <si>
    <t>Venmo</t>
  </si>
  <si>
    <t>Costco</t>
  </si>
  <si>
    <t>Groceries</t>
  </si>
  <si>
    <t>Adafruit</t>
  </si>
  <si>
    <t>Google</t>
  </si>
  <si>
    <t>U-park</t>
  </si>
  <si>
    <t>Car</t>
  </si>
  <si>
    <t>Amtrak</t>
  </si>
  <si>
    <t>Travel</t>
  </si>
  <si>
    <t>Zelle to Ashley</t>
  </si>
  <si>
    <t>Peacock</t>
  </si>
  <si>
    <t>YouTube</t>
  </si>
  <si>
    <t>Walgreens</t>
  </si>
  <si>
    <t>Five Below</t>
  </si>
  <si>
    <t>Pepper Palace</t>
  </si>
  <si>
    <t>Cinnabon</t>
  </si>
  <si>
    <t>Street Corner</t>
  </si>
  <si>
    <t>Paddle</t>
  </si>
  <si>
    <t>FuboTV</t>
  </si>
  <si>
    <t>Sq *elite Food Sfargo</t>
  </si>
  <si>
    <t>Market 888 Troy Mi</t>
  </si>
  <si>
    <t>Pateron</t>
  </si>
  <si>
    <t>Payrange (Laundry)</t>
  </si>
  <si>
    <t>Geico Auto Insurance</t>
  </si>
  <si>
    <t>Zelle to Aman</t>
  </si>
  <si>
    <t>Family</t>
  </si>
  <si>
    <t>Spark Fun</t>
  </si>
  <si>
    <t>Doordash</t>
  </si>
  <si>
    <t>Best Buy</t>
  </si>
  <si>
    <t>Fandango</t>
  </si>
  <si>
    <t>Minecraft</t>
  </si>
  <si>
    <t>Walmart</t>
  </si>
  <si>
    <t>Health</t>
  </si>
  <si>
    <t>Kristin (Vision Exam)</t>
  </si>
  <si>
    <t>Ndsu Online Mark</t>
  </si>
  <si>
    <t>Alldata</t>
  </si>
  <si>
    <t>Gas</t>
  </si>
  <si>
    <t>Home Depot</t>
  </si>
  <si>
    <t>Towing Aman's Suzuki</t>
  </si>
  <si>
    <t>Nddot</t>
  </si>
  <si>
    <t>Adrian's Auto - Corolla Inspection</t>
  </si>
  <si>
    <t>Gokey Law Office</t>
  </si>
  <si>
    <t>Immigration</t>
  </si>
  <si>
    <t>Movie</t>
  </si>
  <si>
    <t>Denny's</t>
  </si>
  <si>
    <t>Square Triple Ax</t>
  </si>
  <si>
    <t>Steamgames (Quiplash)</t>
  </si>
  <si>
    <t>(goes from row 2 to row 62 for November)</t>
  </si>
  <si>
    <t>NOVEMBER</t>
  </si>
  <si>
    <t>DECEMBER</t>
  </si>
  <si>
    <t>Iteration</t>
  </si>
  <si>
    <t>Famly</t>
  </si>
  <si>
    <t>Total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</si>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</sst>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3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44" fontId="0" fillId="0" borderId="0" xfId="0" applyNumberForma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14" fontId="0" fillId="0" borderId="0" xfId="0" applyNumberFormat="1"/>
    <xf numFmtId="19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1</xdr:row>
          <xdr:rowOff>0</xdr:rowOff>
        </xdr:from>
        <xdr:to>
          <xdr:col>21</xdr:col>
          <xdr:colOff>600075</xdr:colOff>
          <xdr:row>3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30-Day Iteration Evaluation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86499-FC36-4C1A-84FF-BA791B18BF9F}">
  <sheetPr codeName="Sheet1"/>
  <dimension ref="B2:G16"/>
  <sheetViews>
    <sheetView workbookViewId="0">
      <selection activeCell="I22" sqref="I22"/>
    </sheetView>
  </sheetViews>
  <sheetFormatPr defaultRowHeight="15" x14ac:dyDescent="0.25"/>
  <cols>
    <col min="2" max="2" width="20.7109375" customWidth="1"/>
    <col min="3" max="3" width="20.7109375" style="1" customWidth="1"/>
    <col min="6" max="7" width="20.7109375" customWidth="1"/>
  </cols>
  <sheetData>
    <row r="2" spans="2:7" x14ac:dyDescent="0.25">
      <c r="B2" s="9" t="s">
        <v>11</v>
      </c>
      <c r="C2" s="9"/>
      <c r="F2" s="9" t="s">
        <v>12</v>
      </c>
      <c r="G2" s="9"/>
    </row>
    <row r="3" spans="2:7" x14ac:dyDescent="0.25">
      <c r="B3" t="s">
        <v>10</v>
      </c>
      <c r="C3" s="1">
        <v>40</v>
      </c>
      <c r="F3" t="s">
        <v>13</v>
      </c>
      <c r="G3" s="1">
        <v>42.95</v>
      </c>
    </row>
    <row r="4" spans="2:7" x14ac:dyDescent="0.25">
      <c r="B4" t="s">
        <v>0</v>
      </c>
      <c r="C4" s="1">
        <v>70</v>
      </c>
      <c r="F4" t="s">
        <v>14</v>
      </c>
      <c r="G4" s="1">
        <v>81</v>
      </c>
    </row>
    <row r="5" spans="2:7" x14ac:dyDescent="0.25">
      <c r="B5" t="s">
        <v>1</v>
      </c>
      <c r="C5" s="1">
        <v>5</v>
      </c>
      <c r="F5" t="s">
        <v>15</v>
      </c>
      <c r="G5" s="1">
        <f xml:space="preserve"> 123.91 + 27.09 + 59.06</f>
        <v>210.06</v>
      </c>
    </row>
    <row r="6" spans="2:7" x14ac:dyDescent="0.25">
      <c r="B6" t="s">
        <v>2</v>
      </c>
      <c r="C6" s="1">
        <f>1.99+2.99</f>
        <v>4.9800000000000004</v>
      </c>
      <c r="F6" t="s">
        <v>16</v>
      </c>
      <c r="G6" s="1">
        <f>8</f>
        <v>8</v>
      </c>
    </row>
    <row r="7" spans="2:7" x14ac:dyDescent="0.25">
      <c r="B7" t="s">
        <v>3</v>
      </c>
      <c r="C7" s="1">
        <v>7.99</v>
      </c>
      <c r="F7" t="s">
        <v>17</v>
      </c>
      <c r="G7" s="1">
        <f>46.9+(87.88/2)+((39.9+19.9)/2)+(51.42/2)+(51.61/2)+(26.54/2)+(31.18/2)+(22)</f>
        <v>223.11500000000004</v>
      </c>
    </row>
    <row r="8" spans="2:7" x14ac:dyDescent="0.25">
      <c r="B8" t="s">
        <v>4</v>
      </c>
      <c r="C8" s="1">
        <v>4.99</v>
      </c>
      <c r="F8" t="s">
        <v>18</v>
      </c>
      <c r="G8" s="1">
        <f>230.26+212.82+(92.8/2)</f>
        <v>489.47999999999996</v>
      </c>
    </row>
    <row r="9" spans="2:7" x14ac:dyDescent="0.25">
      <c r="B9" t="s">
        <v>5</v>
      </c>
      <c r="C9" s="1">
        <v>5.99</v>
      </c>
      <c r="G9" s="1"/>
    </row>
    <row r="10" spans="2:7" x14ac:dyDescent="0.25">
      <c r="B10" t="s">
        <v>6</v>
      </c>
      <c r="C10" s="1">
        <v>11.25</v>
      </c>
      <c r="G10" s="1"/>
    </row>
    <row r="11" spans="2:7" x14ac:dyDescent="0.25">
      <c r="B11" t="s">
        <v>7</v>
      </c>
      <c r="C11" s="1">
        <v>0.99</v>
      </c>
      <c r="G11" s="1"/>
    </row>
    <row r="12" spans="2:7" x14ac:dyDescent="0.25">
      <c r="B12" t="s">
        <v>8</v>
      </c>
      <c r="C12" s="1">
        <v>40</v>
      </c>
      <c r="G12" s="1"/>
    </row>
    <row r="13" spans="2:7" x14ac:dyDescent="0.25">
      <c r="B13" t="s">
        <v>9</v>
      </c>
      <c r="C13" s="1">
        <f>35 + 9</f>
        <v>44</v>
      </c>
      <c r="G13" s="1"/>
    </row>
    <row r="14" spans="2:7" x14ac:dyDescent="0.25">
      <c r="G14" s="1"/>
    </row>
    <row r="15" spans="2:7" x14ac:dyDescent="0.25">
      <c r="C15" s="1">
        <f>SUM($C$3:C13)</f>
        <v>235.19000000000003</v>
      </c>
      <c r="G15" s="1">
        <f>SUM($G$3:G13)</f>
        <v>1054.605</v>
      </c>
    </row>
    <row r="16" spans="2:7" x14ac:dyDescent="0.25">
      <c r="G16" s="3">
        <f>G15*0.2</f>
        <v>210.92100000000002</v>
      </c>
    </row>
  </sheetData>
  <mergeCells count="2">
    <mergeCell ref="B2:C2"/>
    <mergeCell ref="F2:G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43059-646C-48E6-AD70-95302B784D81}">
  <sheetPr codeName="Sheet2"/>
  <dimension ref="B1:R62"/>
  <sheetViews>
    <sheetView topLeftCell="B1" workbookViewId="0">
      <selection activeCell="O4" sqref="O4"/>
    </sheetView>
  </sheetViews>
  <sheetFormatPr defaultRowHeight="15" x14ac:dyDescent="0.25"/>
  <cols>
    <col min="2" max="2" width="15.7109375" style="4" customWidth="1"/>
    <col min="3" max="3" width="30.7109375" style="4" customWidth="1"/>
    <col min="4" max="4" width="15.7109375" style="6" customWidth="1"/>
    <col min="5" max="5" width="15.7109375" style="4" customWidth="1"/>
    <col min="8" max="8" width="15.7109375" style="4" customWidth="1"/>
    <col min="9" max="9" width="30.7109375" style="4" customWidth="1"/>
    <col min="10" max="10" width="15.7109375" style="6" customWidth="1"/>
    <col min="11" max="11" width="15.7109375" style="4" customWidth="1"/>
    <col min="14" max="14" width="15.7109375" style="2" customWidth="1"/>
    <col min="15" max="15" width="15.7109375" style="8" customWidth="1"/>
    <col min="17" max="18" width="15.7109375" customWidth="1"/>
  </cols>
  <sheetData>
    <row r="1" spans="2:18" x14ac:dyDescent="0.25">
      <c r="D1" s="4"/>
      <c r="J1" s="4"/>
      <c r="N1" s="7" t="s">
        <v>81</v>
      </c>
    </row>
    <row r="2" spans="2:18" x14ac:dyDescent="0.25">
      <c r="B2" s="4" t="s">
        <v>19</v>
      </c>
      <c r="C2" s="4" t="s">
        <v>20</v>
      </c>
      <c r="D2" s="4" t="s">
        <v>21</v>
      </c>
      <c r="E2" s="4" t="s">
        <v>22</v>
      </c>
      <c r="H2" s="4" t="s">
        <v>19</v>
      </c>
      <c r="I2" s="4" t="s">
        <v>20</v>
      </c>
      <c r="J2" s="4" t="s">
        <v>21</v>
      </c>
      <c r="K2" s="4" t="s">
        <v>22</v>
      </c>
      <c r="N2" s="4" t="s">
        <v>82</v>
      </c>
      <c r="Q2" s="4" t="s">
        <v>83</v>
      </c>
      <c r="R2" s="8"/>
    </row>
    <row r="3" spans="2:18" x14ac:dyDescent="0.25">
      <c r="B3" s="5">
        <v>44501</v>
      </c>
      <c r="C3" s="4" t="s">
        <v>27</v>
      </c>
      <c r="D3" s="6">
        <v>19.04</v>
      </c>
      <c r="E3" s="4" t="s">
        <v>26</v>
      </c>
      <c r="H3" s="5">
        <v>44531</v>
      </c>
      <c r="I3" s="4" t="s">
        <v>67</v>
      </c>
      <c r="J3" s="6">
        <v>127</v>
      </c>
      <c r="K3" s="4" t="s">
        <v>66</v>
      </c>
      <c r="N3" s="2" t="s">
        <v>33</v>
      </c>
      <c r="O3" s="8">
        <f>SUMIF(E3:E62,"Bills/Subs",D3:D62)</f>
        <v>306.7700000000001</v>
      </c>
      <c r="Q3" s="2" t="s">
        <v>33</v>
      </c>
      <c r="R3" s="8">
        <f>SUMIF(K3:K100,"Bills/Subs",J3:J100)</f>
        <v>276.77000000000004</v>
      </c>
    </row>
    <row r="4" spans="2:18" x14ac:dyDescent="0.25">
      <c r="B4" s="5">
        <v>44501</v>
      </c>
      <c r="C4" s="4" t="s">
        <v>52</v>
      </c>
      <c r="D4" s="6">
        <v>69.989999999999995</v>
      </c>
      <c r="E4" s="4" t="s">
        <v>33</v>
      </c>
      <c r="H4" s="5">
        <v>44531</v>
      </c>
      <c r="I4" s="4" t="s">
        <v>52</v>
      </c>
      <c r="J4" s="6">
        <v>69.989999999999995</v>
      </c>
      <c r="K4" s="4" t="s">
        <v>33</v>
      </c>
      <c r="N4" s="2" t="s">
        <v>29</v>
      </c>
      <c r="O4" s="8">
        <f>SUMIF(E3:E62,"Project",D3:D62)</f>
        <v>749.66000000000008</v>
      </c>
      <c r="Q4" s="2" t="s">
        <v>29</v>
      </c>
      <c r="R4" s="8">
        <f>SUMIF(K3:K100,"Project",J3:J100)</f>
        <v>154.29</v>
      </c>
    </row>
    <row r="5" spans="2:18" x14ac:dyDescent="0.25">
      <c r="B5" s="5">
        <v>44502</v>
      </c>
      <c r="C5" s="4" t="s">
        <v>27</v>
      </c>
      <c r="D5" s="6">
        <v>31.16</v>
      </c>
      <c r="E5" s="4" t="s">
        <v>26</v>
      </c>
      <c r="H5" s="5">
        <v>44532</v>
      </c>
      <c r="I5" s="4" t="s">
        <v>27</v>
      </c>
      <c r="J5" s="6">
        <v>83.76</v>
      </c>
      <c r="K5" s="4" t="s">
        <v>26</v>
      </c>
      <c r="N5" s="2" t="s">
        <v>59</v>
      </c>
      <c r="O5" s="8">
        <f>SUMIF(E3:E62,"Family",D3:D62)</f>
        <v>23.810000000000002</v>
      </c>
      <c r="Q5" s="2" t="s">
        <v>59</v>
      </c>
      <c r="R5" s="8">
        <f>SUMIF(K3:K100,"Family",J3:J100)</f>
        <v>0</v>
      </c>
    </row>
    <row r="6" spans="2:18" x14ac:dyDescent="0.25">
      <c r="B6" s="5">
        <v>44502</v>
      </c>
      <c r="C6" s="4" t="s">
        <v>9</v>
      </c>
      <c r="D6" s="6">
        <v>44</v>
      </c>
      <c r="E6" s="4" t="s">
        <v>33</v>
      </c>
      <c r="H6" s="5">
        <v>44532</v>
      </c>
      <c r="I6" s="4" t="s">
        <v>9</v>
      </c>
      <c r="J6" s="6">
        <v>44</v>
      </c>
      <c r="K6" s="4" t="s">
        <v>33</v>
      </c>
      <c r="N6" s="2" t="s">
        <v>66</v>
      </c>
      <c r="O6" s="8">
        <f>SUMIF(E3:E62,"Health",D3:D62)</f>
        <v>222.38</v>
      </c>
      <c r="Q6" s="2" t="s">
        <v>66</v>
      </c>
      <c r="R6" s="8">
        <f>SUMIF(K3:K100,"Health",J3:J100)</f>
        <v>127</v>
      </c>
    </row>
    <row r="7" spans="2:18" x14ac:dyDescent="0.25">
      <c r="B7" s="5">
        <v>44502</v>
      </c>
      <c r="C7" s="4" t="s">
        <v>53</v>
      </c>
      <c r="D7" s="6">
        <v>3.15</v>
      </c>
      <c r="E7" s="4" t="s">
        <v>24</v>
      </c>
      <c r="H7" s="5">
        <v>44532</v>
      </c>
      <c r="I7" s="4" t="s">
        <v>39</v>
      </c>
      <c r="J7" s="6">
        <v>2</v>
      </c>
      <c r="K7" s="4" t="s">
        <v>40</v>
      </c>
      <c r="N7" s="2" t="s">
        <v>36</v>
      </c>
      <c r="O7" s="8">
        <f>SUMIF(E3:E62,"Groceries",D3:D62)</f>
        <v>44.47</v>
      </c>
      <c r="Q7" s="2" t="s">
        <v>36</v>
      </c>
      <c r="R7" s="8">
        <f>SUMIF(K3:K100,"Groceries",J3:J100)</f>
        <v>0</v>
      </c>
    </row>
    <row r="8" spans="2:18" x14ac:dyDescent="0.25">
      <c r="B8" s="5">
        <v>44502</v>
      </c>
      <c r="C8" s="4" t="s">
        <v>54</v>
      </c>
      <c r="D8" s="6">
        <v>2.15</v>
      </c>
      <c r="E8" s="4" t="s">
        <v>24</v>
      </c>
      <c r="H8" s="5">
        <v>44533</v>
      </c>
      <c r="I8" s="4" t="s">
        <v>25</v>
      </c>
      <c r="J8" s="6">
        <v>3.76</v>
      </c>
      <c r="K8" s="4" t="s">
        <v>24</v>
      </c>
      <c r="N8" s="2" t="s">
        <v>24</v>
      </c>
      <c r="O8" s="8">
        <f>SUMIF(E3:E62,"Food",D3:D62)</f>
        <v>60.75</v>
      </c>
      <c r="Q8" s="2" t="s">
        <v>24</v>
      </c>
      <c r="R8" s="8">
        <f>SUMIF(K3:K100,"Food",J3:J100)</f>
        <v>44.07</v>
      </c>
    </row>
    <row r="9" spans="2:18" x14ac:dyDescent="0.25">
      <c r="B9" s="5">
        <v>44502</v>
      </c>
      <c r="C9" s="4" t="s">
        <v>55</v>
      </c>
      <c r="D9" s="6">
        <v>5</v>
      </c>
      <c r="E9" s="4" t="s">
        <v>33</v>
      </c>
      <c r="H9" s="5">
        <v>44536</v>
      </c>
      <c r="I9" s="4" t="s">
        <v>68</v>
      </c>
      <c r="J9" s="6">
        <v>20</v>
      </c>
      <c r="K9" s="4" t="s">
        <v>26</v>
      </c>
      <c r="N9" s="2" t="s">
        <v>31</v>
      </c>
      <c r="O9" s="8">
        <f>SUMIF(E3:E62,"Gift",D3:D62)</f>
        <v>370.04</v>
      </c>
      <c r="Q9" s="2" t="s">
        <v>31</v>
      </c>
      <c r="R9" s="8">
        <f>SUMIF(K3:K100,"Gift",J3:J100)</f>
        <v>45.83</v>
      </c>
    </row>
    <row r="10" spans="2:18" x14ac:dyDescent="0.25">
      <c r="B10" s="5">
        <v>44502</v>
      </c>
      <c r="C10" s="4" t="s">
        <v>28</v>
      </c>
      <c r="D10" s="6">
        <v>107.6</v>
      </c>
      <c r="E10" s="4" t="s">
        <v>29</v>
      </c>
      <c r="H10" s="5">
        <v>44536</v>
      </c>
      <c r="I10" s="4" t="s">
        <v>57</v>
      </c>
      <c r="J10" s="6">
        <v>135.83000000000001</v>
      </c>
      <c r="K10" s="4" t="s">
        <v>33</v>
      </c>
      <c r="N10" s="2" t="s">
        <v>26</v>
      </c>
      <c r="O10" s="8">
        <f>SUMIF(E3:E62,"Misc",D3:D62)</f>
        <v>434.62000000000012</v>
      </c>
      <c r="Q10" s="2" t="s">
        <v>26</v>
      </c>
      <c r="R10" s="8">
        <f>SUMIF(K3:K100,"Misc",J3:J100)</f>
        <v>190.63</v>
      </c>
    </row>
    <row r="11" spans="2:18" x14ac:dyDescent="0.25">
      <c r="B11" s="5">
        <v>44503</v>
      </c>
      <c r="C11" s="4" t="s">
        <v>56</v>
      </c>
      <c r="D11" s="6">
        <v>25</v>
      </c>
      <c r="E11" s="4" t="s">
        <v>33</v>
      </c>
      <c r="H11" s="5">
        <v>44536</v>
      </c>
      <c r="I11" s="4" t="s">
        <v>69</v>
      </c>
      <c r="J11" s="6">
        <v>19.989999999999998</v>
      </c>
      <c r="K11" s="4" t="s">
        <v>40</v>
      </c>
      <c r="N11" s="2" t="s">
        <v>40</v>
      </c>
      <c r="O11" s="8">
        <f>SUMIF(E3:E62,"Car",D3:D62)</f>
        <v>3</v>
      </c>
      <c r="Q11" s="2" t="s">
        <v>40</v>
      </c>
      <c r="R11" s="8">
        <f>SUMIF(K3:K100,"Car",J3:J100)</f>
        <v>623.81000000000006</v>
      </c>
    </row>
    <row r="12" spans="2:18" x14ac:dyDescent="0.25">
      <c r="B12" s="5">
        <v>44503</v>
      </c>
      <c r="C12" s="4" t="s">
        <v>54</v>
      </c>
      <c r="D12" s="6">
        <v>6.45</v>
      </c>
      <c r="E12" s="4" t="s">
        <v>24</v>
      </c>
      <c r="H12" s="5">
        <v>44536</v>
      </c>
      <c r="I12" s="4" t="s">
        <v>70</v>
      </c>
      <c r="J12" s="6">
        <v>32.72</v>
      </c>
      <c r="K12" s="4" t="s">
        <v>40</v>
      </c>
      <c r="N12" s="2" t="s">
        <v>42</v>
      </c>
      <c r="O12" s="8">
        <f>SUMIF(E3:E62,"Travel",D3:D62)</f>
        <v>48</v>
      </c>
      <c r="Q12" s="2" t="s">
        <v>42</v>
      </c>
      <c r="R12" s="8">
        <f>SUMIF(K3:K100,"Travel",J3:J100)</f>
        <v>0</v>
      </c>
    </row>
    <row r="13" spans="2:18" x14ac:dyDescent="0.25">
      <c r="B13" s="5">
        <v>44505</v>
      </c>
      <c r="C13" s="4" t="s">
        <v>57</v>
      </c>
      <c r="D13" s="6">
        <v>135.83000000000001</v>
      </c>
      <c r="E13" s="4" t="s">
        <v>33</v>
      </c>
      <c r="H13" s="5">
        <v>44536</v>
      </c>
      <c r="I13" s="4" t="s">
        <v>71</v>
      </c>
      <c r="J13" s="6">
        <v>80</v>
      </c>
      <c r="K13" s="4" t="s">
        <v>29</v>
      </c>
      <c r="O13" s="8">
        <f>SUM(O3:O12)</f>
        <v>2263.5000000000005</v>
      </c>
    </row>
    <row r="14" spans="2:18" x14ac:dyDescent="0.25">
      <c r="B14" s="5">
        <v>44505</v>
      </c>
      <c r="C14" s="4" t="s">
        <v>54</v>
      </c>
      <c r="D14" s="6">
        <v>5.36</v>
      </c>
      <c r="E14" s="4" t="s">
        <v>24</v>
      </c>
      <c r="H14" s="5">
        <v>44537</v>
      </c>
      <c r="I14" s="4" t="s">
        <v>72</v>
      </c>
      <c r="J14" s="6">
        <v>429.6</v>
      </c>
      <c r="K14" s="4" t="s">
        <v>40</v>
      </c>
    </row>
    <row r="15" spans="2:18" x14ac:dyDescent="0.25">
      <c r="B15" s="5">
        <v>44508</v>
      </c>
      <c r="C15" s="4" t="s">
        <v>58</v>
      </c>
      <c r="D15" s="6">
        <v>12</v>
      </c>
      <c r="E15" s="4" t="s">
        <v>59</v>
      </c>
      <c r="H15" s="5">
        <v>44537</v>
      </c>
      <c r="I15" s="4" t="s">
        <v>73</v>
      </c>
      <c r="J15" s="6">
        <v>15</v>
      </c>
      <c r="K15" s="4" t="s">
        <v>40</v>
      </c>
    </row>
    <row r="16" spans="2:18" x14ac:dyDescent="0.25">
      <c r="B16" s="5">
        <v>44508</v>
      </c>
      <c r="C16" s="4" t="s">
        <v>37</v>
      </c>
      <c r="D16" s="6">
        <v>88.6</v>
      </c>
      <c r="E16" s="4" t="s">
        <v>29</v>
      </c>
      <c r="H16" s="5">
        <v>44537</v>
      </c>
      <c r="I16" s="4" t="s">
        <v>74</v>
      </c>
      <c r="J16" s="6">
        <v>90.27</v>
      </c>
      <c r="K16" s="4" t="s">
        <v>40</v>
      </c>
    </row>
    <row r="17" spans="2:11" x14ac:dyDescent="0.25">
      <c r="B17" s="5">
        <v>44508</v>
      </c>
      <c r="C17" s="4" t="s">
        <v>27</v>
      </c>
      <c r="D17" s="6">
        <v>24.17</v>
      </c>
      <c r="E17" s="4" t="s">
        <v>26</v>
      </c>
      <c r="H17" s="5">
        <v>44539</v>
      </c>
      <c r="I17" s="4" t="s">
        <v>38</v>
      </c>
      <c r="J17" s="6">
        <v>1.99</v>
      </c>
      <c r="K17" s="4" t="s">
        <v>33</v>
      </c>
    </row>
    <row r="18" spans="2:11" x14ac:dyDescent="0.25">
      <c r="B18" s="5">
        <v>44508</v>
      </c>
      <c r="C18" s="4" t="s">
        <v>60</v>
      </c>
      <c r="D18" s="6">
        <v>89.03</v>
      </c>
      <c r="E18" s="4" t="s">
        <v>29</v>
      </c>
      <c r="H18" s="5">
        <v>44543</v>
      </c>
      <c r="I18" s="4" t="s">
        <v>27</v>
      </c>
      <c r="J18" s="6">
        <v>35.39</v>
      </c>
      <c r="K18" s="4" t="s">
        <v>29</v>
      </c>
    </row>
    <row r="19" spans="2:11" x14ac:dyDescent="0.25">
      <c r="B19" s="5">
        <v>44508</v>
      </c>
      <c r="C19" s="4" t="s">
        <v>61</v>
      </c>
      <c r="D19" s="6">
        <v>11.81</v>
      </c>
      <c r="E19" s="4" t="s">
        <v>59</v>
      </c>
      <c r="H19" s="5">
        <v>44543</v>
      </c>
      <c r="I19" s="4" t="s">
        <v>23</v>
      </c>
      <c r="J19" s="6">
        <v>10.06</v>
      </c>
      <c r="K19" s="4" t="s">
        <v>24</v>
      </c>
    </row>
    <row r="20" spans="2:11" x14ac:dyDescent="0.25">
      <c r="B20" s="5">
        <v>44508</v>
      </c>
      <c r="C20" s="4" t="s">
        <v>38</v>
      </c>
      <c r="D20" s="6">
        <v>1.99</v>
      </c>
      <c r="E20" s="4" t="s">
        <v>33</v>
      </c>
      <c r="H20" s="5">
        <v>44543</v>
      </c>
      <c r="I20" s="4" t="s">
        <v>25</v>
      </c>
      <c r="J20" s="6">
        <v>2.15</v>
      </c>
      <c r="K20" s="4" t="s">
        <v>24</v>
      </c>
    </row>
    <row r="21" spans="2:11" x14ac:dyDescent="0.25">
      <c r="B21" s="5">
        <v>44509</v>
      </c>
      <c r="C21" s="4" t="s">
        <v>23</v>
      </c>
      <c r="D21" s="6">
        <v>4.1500000000000004</v>
      </c>
      <c r="E21" s="4" t="s">
        <v>24</v>
      </c>
      <c r="H21" s="5">
        <v>44543</v>
      </c>
      <c r="I21" s="4" t="s">
        <v>70</v>
      </c>
      <c r="J21" s="6">
        <v>34.229999999999997</v>
      </c>
      <c r="K21" s="4" t="s">
        <v>40</v>
      </c>
    </row>
    <row r="22" spans="2:11" x14ac:dyDescent="0.25">
      <c r="B22" s="5">
        <v>44509</v>
      </c>
      <c r="C22" s="4" t="s">
        <v>25</v>
      </c>
      <c r="D22" s="6">
        <v>2.15</v>
      </c>
      <c r="E22" s="4" t="s">
        <v>26</v>
      </c>
      <c r="H22" s="5">
        <v>44543</v>
      </c>
      <c r="I22" s="4" t="s">
        <v>62</v>
      </c>
      <c r="J22" s="6">
        <v>45.83</v>
      </c>
      <c r="K22" s="4" t="s">
        <v>31</v>
      </c>
    </row>
    <row r="23" spans="2:11" x14ac:dyDescent="0.25">
      <c r="B23" s="5">
        <v>44510</v>
      </c>
      <c r="C23" s="4" t="s">
        <v>27</v>
      </c>
      <c r="D23" s="6">
        <v>24.17</v>
      </c>
      <c r="E23" s="4" t="s">
        <v>26</v>
      </c>
      <c r="H23" s="5">
        <v>44544</v>
      </c>
      <c r="I23" s="4" t="s">
        <v>4</v>
      </c>
      <c r="J23" s="6">
        <v>9.99</v>
      </c>
      <c r="K23" s="4" t="s">
        <v>33</v>
      </c>
    </row>
    <row r="24" spans="2:11" x14ac:dyDescent="0.25">
      <c r="B24" s="5">
        <v>44510</v>
      </c>
      <c r="C24" s="4" t="s">
        <v>28</v>
      </c>
      <c r="D24" s="6">
        <v>127.67</v>
      </c>
      <c r="E24" s="4" t="s">
        <v>29</v>
      </c>
      <c r="H24" s="5">
        <v>44545</v>
      </c>
      <c r="I24" s="4" t="s">
        <v>27</v>
      </c>
      <c r="J24" s="6">
        <v>38.9</v>
      </c>
      <c r="K24" s="4" t="s">
        <v>29</v>
      </c>
    </row>
    <row r="25" spans="2:11" x14ac:dyDescent="0.25">
      <c r="B25" s="5">
        <v>44512</v>
      </c>
      <c r="C25" s="4" t="s">
        <v>27</v>
      </c>
      <c r="D25" s="6">
        <v>45.95</v>
      </c>
      <c r="E25" s="4" t="s">
        <v>26</v>
      </c>
      <c r="H25" s="5">
        <v>44545</v>
      </c>
      <c r="I25" s="4" t="s">
        <v>25</v>
      </c>
      <c r="J25" s="6">
        <v>2.15</v>
      </c>
      <c r="K25" s="4" t="s">
        <v>24</v>
      </c>
    </row>
    <row r="26" spans="2:11" x14ac:dyDescent="0.25">
      <c r="B26" s="5">
        <v>44512</v>
      </c>
      <c r="C26" s="4" t="s">
        <v>28</v>
      </c>
      <c r="D26" s="6">
        <v>51.16</v>
      </c>
      <c r="E26" s="4" t="s">
        <v>29</v>
      </c>
      <c r="H26" s="5">
        <v>44546</v>
      </c>
      <c r="I26" s="4" t="s">
        <v>5</v>
      </c>
      <c r="J26" s="6">
        <v>6.99</v>
      </c>
      <c r="K26" s="4" t="s">
        <v>33</v>
      </c>
    </row>
    <row r="27" spans="2:11" x14ac:dyDescent="0.25">
      <c r="B27" s="5">
        <v>44512</v>
      </c>
      <c r="C27" s="4" t="s">
        <v>30</v>
      </c>
      <c r="D27" s="6">
        <v>194.42</v>
      </c>
      <c r="E27" s="4" t="s">
        <v>31</v>
      </c>
      <c r="H27" s="5">
        <v>44546</v>
      </c>
      <c r="I27" s="4" t="s">
        <v>75</v>
      </c>
      <c r="J27" s="6">
        <v>250</v>
      </c>
      <c r="K27" s="4" t="s">
        <v>76</v>
      </c>
    </row>
    <row r="28" spans="2:11" x14ac:dyDescent="0.25">
      <c r="B28" s="5">
        <v>44515</v>
      </c>
      <c r="C28" s="4" t="s">
        <v>32</v>
      </c>
      <c r="D28" s="6">
        <v>103.54</v>
      </c>
      <c r="E28" s="4" t="s">
        <v>26</v>
      </c>
      <c r="H28" s="5">
        <v>44546</v>
      </c>
      <c r="I28" s="4" t="s">
        <v>25</v>
      </c>
      <c r="J28" s="6">
        <v>1.88</v>
      </c>
      <c r="K28" s="4" t="s">
        <v>24</v>
      </c>
    </row>
    <row r="29" spans="2:11" x14ac:dyDescent="0.25">
      <c r="B29" s="5">
        <v>44515</v>
      </c>
      <c r="C29" s="4" t="s">
        <v>4</v>
      </c>
      <c r="D29" s="6">
        <v>9.99</v>
      </c>
      <c r="E29" s="4" t="s">
        <v>33</v>
      </c>
      <c r="H29" s="5">
        <v>44550</v>
      </c>
      <c r="I29" s="4" t="s">
        <v>77</v>
      </c>
      <c r="J29" s="6">
        <v>8.49</v>
      </c>
      <c r="K29" s="4" t="s">
        <v>26</v>
      </c>
    </row>
    <row r="30" spans="2:11" x14ac:dyDescent="0.25">
      <c r="B30" s="5">
        <v>44515</v>
      </c>
      <c r="C30" s="4" t="s">
        <v>34</v>
      </c>
      <c r="D30" s="6">
        <v>6</v>
      </c>
      <c r="E30" s="4" t="s">
        <v>26</v>
      </c>
      <c r="H30" s="5">
        <v>44550</v>
      </c>
      <c r="I30" s="4" t="s">
        <v>78</v>
      </c>
      <c r="J30" s="6">
        <v>24.07</v>
      </c>
      <c r="K30" s="4" t="s">
        <v>24</v>
      </c>
    </row>
    <row r="31" spans="2:11" x14ac:dyDescent="0.25">
      <c r="B31" s="5">
        <v>44516</v>
      </c>
      <c r="C31" s="4" t="s">
        <v>28</v>
      </c>
      <c r="D31" s="6">
        <v>230.53</v>
      </c>
      <c r="E31" s="4" t="s">
        <v>29</v>
      </c>
      <c r="H31" s="5">
        <v>44550</v>
      </c>
      <c r="I31" s="4" t="s">
        <v>38</v>
      </c>
      <c r="J31" s="6">
        <v>2.99</v>
      </c>
      <c r="K31" s="4" t="s">
        <v>33</v>
      </c>
    </row>
    <row r="32" spans="2:11" x14ac:dyDescent="0.25">
      <c r="B32" s="5">
        <v>44516</v>
      </c>
      <c r="C32" s="4" t="s">
        <v>5</v>
      </c>
      <c r="D32" s="6">
        <v>6.99</v>
      </c>
      <c r="E32" s="4" t="s">
        <v>33</v>
      </c>
      <c r="H32" s="5">
        <v>44550</v>
      </c>
      <c r="I32" s="4" t="s">
        <v>79</v>
      </c>
      <c r="J32" s="6">
        <v>28.38</v>
      </c>
      <c r="K32" s="4" t="s">
        <v>26</v>
      </c>
    </row>
    <row r="33" spans="2:11" x14ac:dyDescent="0.25">
      <c r="B33" s="5">
        <v>44517</v>
      </c>
      <c r="C33" s="4" t="s">
        <v>35</v>
      </c>
      <c r="D33" s="6">
        <v>44.47</v>
      </c>
      <c r="E33" s="4" t="s">
        <v>36</v>
      </c>
      <c r="H33" s="5">
        <v>44550</v>
      </c>
      <c r="I33" s="4" t="s">
        <v>34</v>
      </c>
      <c r="J33" s="6">
        <v>40.01</v>
      </c>
      <c r="K33" s="4" t="s">
        <v>26</v>
      </c>
    </row>
    <row r="34" spans="2:11" x14ac:dyDescent="0.25">
      <c r="B34" s="5">
        <v>44518</v>
      </c>
      <c r="C34" s="4" t="s">
        <v>37</v>
      </c>
      <c r="D34" s="6">
        <v>43.47</v>
      </c>
      <c r="E34" s="4" t="s">
        <v>29</v>
      </c>
      <c r="H34" s="5">
        <v>44552</v>
      </c>
      <c r="I34" s="4" t="s">
        <v>44</v>
      </c>
      <c r="J34" s="6">
        <v>4.99</v>
      </c>
      <c r="K34" s="4" t="s">
        <v>33</v>
      </c>
    </row>
    <row r="35" spans="2:11" x14ac:dyDescent="0.25">
      <c r="B35" s="5">
        <v>44522</v>
      </c>
      <c r="C35" s="4" t="s">
        <v>38</v>
      </c>
      <c r="D35" s="6">
        <v>2.99</v>
      </c>
      <c r="E35" s="4" t="s">
        <v>33</v>
      </c>
      <c r="H35" s="5">
        <v>44551</v>
      </c>
      <c r="I35" s="4" t="s">
        <v>80</v>
      </c>
      <c r="J35" s="6">
        <v>9.99</v>
      </c>
      <c r="K35" s="4" t="s">
        <v>26</v>
      </c>
    </row>
    <row r="36" spans="2:11" x14ac:dyDescent="0.25">
      <c r="B36" s="5">
        <v>44522</v>
      </c>
      <c r="C36" s="4" t="s">
        <v>39</v>
      </c>
      <c r="D36" s="6">
        <v>3</v>
      </c>
      <c r="E36" s="4" t="s">
        <v>40</v>
      </c>
      <c r="H36" s="5"/>
    </row>
    <row r="37" spans="2:11" x14ac:dyDescent="0.25">
      <c r="B37" s="5">
        <v>44522</v>
      </c>
      <c r="C37" s="4" t="s">
        <v>41</v>
      </c>
      <c r="D37" s="6">
        <v>48</v>
      </c>
      <c r="E37" s="4" t="s">
        <v>42</v>
      </c>
      <c r="H37" s="5"/>
    </row>
    <row r="38" spans="2:11" x14ac:dyDescent="0.25">
      <c r="B38" s="5">
        <v>44523</v>
      </c>
      <c r="C38" s="4" t="s">
        <v>43</v>
      </c>
      <c r="D38" s="6">
        <v>13.5</v>
      </c>
      <c r="E38" s="4" t="s">
        <v>26</v>
      </c>
      <c r="H38" s="5"/>
    </row>
    <row r="39" spans="2:11" x14ac:dyDescent="0.25">
      <c r="B39" s="5">
        <v>44523</v>
      </c>
      <c r="C39" s="4" t="s">
        <v>44</v>
      </c>
      <c r="D39" s="6">
        <v>4.99</v>
      </c>
      <c r="E39" s="4" t="s">
        <v>33</v>
      </c>
      <c r="H39" s="5"/>
    </row>
    <row r="40" spans="2:11" x14ac:dyDescent="0.25">
      <c r="B40" s="5">
        <v>44524</v>
      </c>
      <c r="C40" s="4" t="s">
        <v>45</v>
      </c>
      <c r="D40" s="6">
        <v>2.99</v>
      </c>
      <c r="E40" s="4" t="s">
        <v>26</v>
      </c>
      <c r="H40" s="5"/>
    </row>
    <row r="41" spans="2:11" x14ac:dyDescent="0.25">
      <c r="B41" s="5">
        <v>44524</v>
      </c>
      <c r="C41" s="4" t="s">
        <v>46</v>
      </c>
      <c r="D41" s="6">
        <v>24.55</v>
      </c>
      <c r="E41" s="4" t="s">
        <v>26</v>
      </c>
      <c r="H41" s="5"/>
    </row>
    <row r="42" spans="2:11" x14ac:dyDescent="0.25">
      <c r="B42" s="5">
        <v>44524</v>
      </c>
      <c r="C42" s="4" t="s">
        <v>47</v>
      </c>
      <c r="D42" s="6">
        <v>10.75</v>
      </c>
      <c r="E42" s="4" t="s">
        <v>26</v>
      </c>
      <c r="H42" s="5"/>
    </row>
    <row r="43" spans="2:11" x14ac:dyDescent="0.25">
      <c r="B43" s="5">
        <v>44526</v>
      </c>
      <c r="C43" s="4" t="s">
        <v>48</v>
      </c>
      <c r="D43" s="6">
        <v>9.9499999999999993</v>
      </c>
      <c r="E43" s="4" t="s">
        <v>24</v>
      </c>
      <c r="H43" s="5"/>
    </row>
    <row r="44" spans="2:11" x14ac:dyDescent="0.25">
      <c r="B44" s="5">
        <v>44526</v>
      </c>
      <c r="C44" s="4" t="s">
        <v>49</v>
      </c>
      <c r="D44" s="6">
        <v>13.23</v>
      </c>
      <c r="E44" s="4" t="s">
        <v>24</v>
      </c>
      <c r="H44" s="5"/>
    </row>
    <row r="45" spans="2:11" x14ac:dyDescent="0.25">
      <c r="B45" s="5">
        <v>44526</v>
      </c>
      <c r="C45" s="4" t="s">
        <v>45</v>
      </c>
      <c r="D45" s="6">
        <v>2.99</v>
      </c>
      <c r="E45" s="4" t="s">
        <v>26</v>
      </c>
      <c r="H45" s="5"/>
    </row>
    <row r="46" spans="2:11" x14ac:dyDescent="0.25">
      <c r="B46" s="5">
        <v>44526</v>
      </c>
      <c r="C46" s="4" t="s">
        <v>45</v>
      </c>
      <c r="D46" s="6">
        <v>2.99</v>
      </c>
      <c r="E46" s="4" t="s">
        <v>26</v>
      </c>
      <c r="H46" s="5"/>
    </row>
    <row r="47" spans="2:11" x14ac:dyDescent="0.25">
      <c r="B47" s="5">
        <v>44526</v>
      </c>
      <c r="C47" s="4" t="s">
        <v>49</v>
      </c>
      <c r="D47" s="6">
        <v>12.17</v>
      </c>
      <c r="E47" s="4" t="s">
        <v>24</v>
      </c>
      <c r="H47" s="5"/>
    </row>
    <row r="48" spans="2:11" x14ac:dyDescent="0.25">
      <c r="B48" s="5">
        <v>44526</v>
      </c>
      <c r="C48" s="4" t="s">
        <v>50</v>
      </c>
      <c r="D48" s="6">
        <v>1.99</v>
      </c>
      <c r="E48" s="4" t="s">
        <v>24</v>
      </c>
      <c r="H48" s="5"/>
    </row>
    <row r="49" spans="2:8" x14ac:dyDescent="0.25">
      <c r="B49" s="5">
        <v>44526</v>
      </c>
      <c r="C49" s="4" t="s">
        <v>45</v>
      </c>
      <c r="D49" s="6">
        <v>2.99</v>
      </c>
      <c r="E49" s="4" t="s">
        <v>26</v>
      </c>
      <c r="H49" s="5"/>
    </row>
    <row r="50" spans="2:8" x14ac:dyDescent="0.25">
      <c r="B50" s="5">
        <v>44526</v>
      </c>
      <c r="C50" s="4" t="s">
        <v>45</v>
      </c>
      <c r="D50" s="6">
        <v>2.99</v>
      </c>
      <c r="E50" s="4" t="s">
        <v>26</v>
      </c>
      <c r="H50" s="5"/>
    </row>
    <row r="51" spans="2:8" x14ac:dyDescent="0.25">
      <c r="B51" s="5">
        <v>44526</v>
      </c>
      <c r="C51" s="4" t="s">
        <v>51</v>
      </c>
      <c r="D51" s="6">
        <v>11.6</v>
      </c>
      <c r="E51" s="4" t="s">
        <v>29</v>
      </c>
      <c r="H51" s="5"/>
    </row>
    <row r="52" spans="2:8" x14ac:dyDescent="0.25">
      <c r="B52" s="5">
        <v>44526</v>
      </c>
      <c r="C52" s="4" t="s">
        <v>45</v>
      </c>
      <c r="D52" s="6">
        <v>2.99</v>
      </c>
      <c r="E52" s="4" t="s">
        <v>26</v>
      </c>
      <c r="H52" s="5"/>
    </row>
    <row r="53" spans="2:8" x14ac:dyDescent="0.25">
      <c r="B53" s="5">
        <v>44526</v>
      </c>
      <c r="C53" s="4" t="s">
        <v>45</v>
      </c>
      <c r="D53" s="6">
        <v>2.99</v>
      </c>
      <c r="E53" s="4" t="s">
        <v>26</v>
      </c>
      <c r="H53" s="5"/>
    </row>
    <row r="54" spans="2:8" x14ac:dyDescent="0.25">
      <c r="B54" s="5">
        <v>44526</v>
      </c>
      <c r="C54" s="4" t="s">
        <v>45</v>
      </c>
      <c r="D54" s="6">
        <v>2.99</v>
      </c>
      <c r="E54" s="4" t="s">
        <v>26</v>
      </c>
      <c r="H54" s="5"/>
    </row>
    <row r="55" spans="2:8" x14ac:dyDescent="0.25">
      <c r="B55" s="5">
        <v>44526</v>
      </c>
      <c r="C55" s="4" t="s">
        <v>45</v>
      </c>
      <c r="D55" s="6">
        <v>2.99</v>
      </c>
      <c r="E55" s="4" t="s">
        <v>26</v>
      </c>
      <c r="H55" s="5"/>
    </row>
    <row r="56" spans="2:8" x14ac:dyDescent="0.25">
      <c r="B56" s="5">
        <v>44526</v>
      </c>
      <c r="C56" s="4" t="s">
        <v>45</v>
      </c>
      <c r="D56" s="6">
        <v>2.99</v>
      </c>
      <c r="E56" s="4" t="s">
        <v>26</v>
      </c>
      <c r="H56" s="5"/>
    </row>
    <row r="57" spans="2:8" x14ac:dyDescent="0.25">
      <c r="B57" s="5">
        <v>44526</v>
      </c>
      <c r="C57" s="4" t="s">
        <v>45</v>
      </c>
      <c r="D57" s="6">
        <v>2.99</v>
      </c>
      <c r="E57" s="4" t="s">
        <v>26</v>
      </c>
      <c r="H57" s="5"/>
    </row>
    <row r="58" spans="2:8" x14ac:dyDescent="0.25">
      <c r="B58" s="5">
        <v>44529</v>
      </c>
      <c r="C58" s="4" t="s">
        <v>62</v>
      </c>
      <c r="D58" s="6">
        <v>84.68</v>
      </c>
      <c r="E58" s="4" t="s">
        <v>31</v>
      </c>
      <c r="H58" s="5"/>
    </row>
    <row r="59" spans="2:8" x14ac:dyDescent="0.25">
      <c r="B59" s="5">
        <v>44530</v>
      </c>
      <c r="C59" s="4" t="s">
        <v>63</v>
      </c>
      <c r="D59" s="6">
        <v>96.75</v>
      </c>
      <c r="E59" s="4" t="s">
        <v>26</v>
      </c>
      <c r="H59" s="5"/>
    </row>
    <row r="60" spans="2:8" x14ac:dyDescent="0.25">
      <c r="B60" s="5">
        <v>44530</v>
      </c>
      <c r="C60" s="4" t="s">
        <v>25</v>
      </c>
      <c r="D60" s="6">
        <v>2.15</v>
      </c>
      <c r="E60" s="4" t="s">
        <v>24</v>
      </c>
      <c r="H60" s="5"/>
    </row>
    <row r="61" spans="2:8" x14ac:dyDescent="0.25">
      <c r="B61" s="5">
        <v>44530</v>
      </c>
      <c r="C61" s="4" t="s">
        <v>64</v>
      </c>
      <c r="D61" s="6">
        <v>90.94</v>
      </c>
      <c r="E61" s="4" t="s">
        <v>31</v>
      </c>
      <c r="H61" s="5"/>
    </row>
    <row r="62" spans="2:8" x14ac:dyDescent="0.25">
      <c r="B62" s="5">
        <v>44530</v>
      </c>
      <c r="C62" s="4" t="s">
        <v>65</v>
      </c>
      <c r="D62" s="6">
        <v>222.38</v>
      </c>
      <c r="E62" s="4" t="s">
        <v>66</v>
      </c>
      <c r="H62" s="5"/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6C342-2234-4EF2-82D5-1080B2842D57}">
  <sheetPr codeName="Sheet3"/>
  <dimension ref="A1:AA95"/>
  <sheetViews>
    <sheetView tabSelected="1" zoomScale="85" zoomScaleNormal="85" workbookViewId="0">
      <selection activeCell="K13" sqref="K13"/>
    </sheetView>
  </sheetViews>
  <sheetFormatPr defaultRowHeight="15" x14ac:dyDescent="0.25"/>
  <cols>
    <col min="2" max="2" width="15.7109375" style="4" customWidth="1"/>
    <col min="3" max="3" width="30.7109375" style="4" customWidth="1"/>
    <col min="4" max="4" width="15.7109375" style="6" customWidth="1"/>
    <col min="5" max="5" width="15.7109375" style="4" customWidth="1"/>
    <col min="8" max="8" width="10.7109375" style="4" customWidth="1"/>
    <col min="9" max="19" width="15.7109375" style="6" customWidth="1"/>
    <col min="27" max="27" width="12.140625" customWidth="1"/>
  </cols>
  <sheetData>
    <row r="1" spans="1:27" x14ac:dyDescent="0.25">
      <c r="A1" s="10"/>
      <c r="B1" s="5"/>
      <c r="D1" s="4"/>
      <c r="I1" s="4"/>
      <c r="J1" s="4"/>
      <c r="K1" s="4"/>
      <c r="L1" s="4"/>
      <c r="M1" s="4"/>
      <c r="N1" s="4"/>
      <c r="O1" s="4"/>
      <c r="P1" s="4"/>
      <c r="Q1" s="4"/>
      <c r="R1" s="4"/>
      <c r="S1" s="4"/>
    </row>
    <row r="2" spans="1:27" x14ac:dyDescent="0.25">
      <c r="B2" s="4" t="s">
        <v>19</v>
      </c>
      <c r="C2" s="4" t="s">
        <v>20</v>
      </c>
      <c r="D2" s="4" t="s">
        <v>21</v>
      </c>
      <c r="E2" s="4" t="s">
        <v>22</v>
      </c>
      <c r="H2" s="4" t="s">
        <v>84</v>
      </c>
      <c r="I2" s="4" t="s">
        <v>33</v>
      </c>
      <c r="J2" s="4" t="s">
        <v>29</v>
      </c>
      <c r="K2" s="4" t="s">
        <v>85</v>
      </c>
      <c r="L2" s="4" t="s">
        <v>66</v>
      </c>
      <c r="M2" s="4" t="s">
        <v>36</v>
      </c>
      <c r="N2" s="4" t="s">
        <v>24</v>
      </c>
      <c r="O2" s="4" t="s">
        <v>31</v>
      </c>
      <c r="P2" s="4" t="s">
        <v>26</v>
      </c>
      <c r="Q2" s="4" t="s">
        <v>40</v>
      </c>
      <c r="R2" s="4" t="s">
        <v>42</v>
      </c>
      <c r="S2" s="4" t="s">
        <v>86</v>
      </c>
    </row>
    <row r="3" spans="1:27" x14ac:dyDescent="0.25">
      <c r="B3" s="5">
        <v>44501</v>
      </c>
      <c r="C3" s="4" t="s">
        <v>27</v>
      </c>
      <c r="D3" s="6">
        <v>19.04</v>
      </c>
      <c r="E3" s="4" t="s">
        <v>26</v>
      </c>
      <c r="T3" s="10"/>
      <c r="Z3" s="11"/>
      <c r="AA3" s="11"/>
    </row>
    <row r="4" spans="1:27" x14ac:dyDescent="0.25">
      <c r="B4" s="5">
        <v>44501</v>
      </c>
      <c r="C4" s="4" t="s">
        <v>52</v>
      </c>
      <c r="D4" s="6">
        <v>69.989999999999995</v>
      </c>
      <c r="E4" s="4" t="s">
        <v>33</v>
      </c>
      <c r="Z4" s="11"/>
      <c r="AA4" s="11"/>
    </row>
    <row r="5" spans="1:27" x14ac:dyDescent="0.25">
      <c r="B5" s="5">
        <v>44502</v>
      </c>
      <c r="C5" s="4" t="s">
        <v>27</v>
      </c>
      <c r="D5" s="6">
        <v>31.16</v>
      </c>
      <c r="E5" s="4" t="s">
        <v>26</v>
      </c>
      <c r="Z5" s="11"/>
      <c r="AA5" s="11"/>
    </row>
    <row r="6" spans="1:27" x14ac:dyDescent="0.25">
      <c r="B6" s="5">
        <v>44502</v>
      </c>
      <c r="C6" s="4" t="s">
        <v>9</v>
      </c>
      <c r="D6" s="6">
        <v>44</v>
      </c>
      <c r="E6" s="4" t="s">
        <v>33</v>
      </c>
      <c r="Z6" s="11"/>
      <c r="AA6" s="11"/>
    </row>
    <row r="7" spans="1:27" x14ac:dyDescent="0.25">
      <c r="B7" s="5">
        <v>44502</v>
      </c>
      <c r="C7" s="4" t="s">
        <v>53</v>
      </c>
      <c r="D7" s="6">
        <v>3.15</v>
      </c>
      <c r="E7" s="4" t="s">
        <v>24</v>
      </c>
      <c r="Z7" s="11"/>
      <c r="AA7" s="11"/>
    </row>
    <row r="8" spans="1:27" x14ac:dyDescent="0.25">
      <c r="B8" s="5">
        <v>44502</v>
      </c>
      <c r="C8" s="4" t="s">
        <v>54</v>
      </c>
      <c r="D8" s="6">
        <v>2.15</v>
      </c>
      <c r="E8" s="4" t="s">
        <v>24</v>
      </c>
      <c r="Z8" s="11"/>
      <c r="AA8" s="11"/>
    </row>
    <row r="9" spans="1:27" x14ac:dyDescent="0.25">
      <c r="B9" s="5">
        <v>44502</v>
      </c>
      <c r="C9" s="4" t="s">
        <v>55</v>
      </c>
      <c r="D9" s="6">
        <v>5</v>
      </c>
      <c r="E9" s="4" t="s">
        <v>33</v>
      </c>
      <c r="Z9" s="11"/>
      <c r="AA9" s="11"/>
    </row>
    <row r="10" spans="1:27" x14ac:dyDescent="0.25">
      <c r="B10" s="5">
        <v>44502</v>
      </c>
      <c r="C10" s="4" t="s">
        <v>28</v>
      </c>
      <c r="D10" s="6">
        <v>107.6</v>
      </c>
      <c r="E10" s="4" t="s">
        <v>29</v>
      </c>
      <c r="Z10" s="11"/>
      <c r="AA10" s="11"/>
    </row>
    <row r="11" spans="1:27" x14ac:dyDescent="0.25">
      <c r="B11" s="5">
        <v>44503</v>
      </c>
      <c r="C11" s="4" t="s">
        <v>56</v>
      </c>
      <c r="D11" s="6">
        <v>25</v>
      </c>
      <c r="E11" s="4" t="s">
        <v>33</v>
      </c>
      <c r="Z11" s="11"/>
      <c r="AA11" s="11"/>
    </row>
    <row r="12" spans="1:27" x14ac:dyDescent="0.25">
      <c r="B12" s="5">
        <v>44503</v>
      </c>
      <c r="C12" s="4" t="s">
        <v>54</v>
      </c>
      <c r="D12" s="6">
        <v>6.45</v>
      </c>
      <c r="E12" s="4" t="s">
        <v>24</v>
      </c>
      <c r="Z12" s="11"/>
      <c r="AA12" s="11"/>
    </row>
    <row r="13" spans="1:27" x14ac:dyDescent="0.25">
      <c r="B13" s="5">
        <v>44505</v>
      </c>
      <c r="C13" s="4" t="s">
        <v>57</v>
      </c>
      <c r="D13" s="6">
        <v>135.83000000000001</v>
      </c>
      <c r="E13" s="4" t="s">
        <v>33</v>
      </c>
      <c r="Z13" s="11"/>
      <c r="AA13" s="11"/>
    </row>
    <row r="14" spans="1:27" x14ac:dyDescent="0.25">
      <c r="B14" s="5">
        <v>44505</v>
      </c>
      <c r="C14" s="4" t="s">
        <v>54</v>
      </c>
      <c r="D14" s="6">
        <v>5.36</v>
      </c>
      <c r="E14" s="4" t="s">
        <v>24</v>
      </c>
      <c r="Z14" s="11"/>
      <c r="AA14" s="11"/>
    </row>
    <row r="15" spans="1:27" x14ac:dyDescent="0.25">
      <c r="B15" s="5">
        <v>44508</v>
      </c>
      <c r="C15" s="4" t="s">
        <v>58</v>
      </c>
      <c r="D15" s="6">
        <v>12</v>
      </c>
      <c r="E15" s="4" t="s">
        <v>59</v>
      </c>
      <c r="Z15" s="11"/>
      <c r="AA15" s="11"/>
    </row>
    <row r="16" spans="1:27" x14ac:dyDescent="0.25">
      <c r="B16" s="5">
        <v>44508</v>
      </c>
      <c r="C16" s="4" t="s">
        <v>37</v>
      </c>
      <c r="D16" s="6">
        <v>88.6</v>
      </c>
      <c r="E16" s="4" t="s">
        <v>29</v>
      </c>
      <c r="Z16" s="11"/>
      <c r="AA16" s="11"/>
    </row>
    <row r="17" spans="2:27" x14ac:dyDescent="0.25">
      <c r="B17" s="5">
        <v>44508</v>
      </c>
      <c r="C17" s="4" t="s">
        <v>27</v>
      </c>
      <c r="D17" s="6">
        <v>24.17</v>
      </c>
      <c r="E17" s="4" t="s">
        <v>26</v>
      </c>
      <c r="Z17" s="11"/>
      <c r="AA17" s="11"/>
    </row>
    <row r="18" spans="2:27" x14ac:dyDescent="0.25">
      <c r="B18" s="5">
        <v>44508</v>
      </c>
      <c r="C18" s="4" t="s">
        <v>60</v>
      </c>
      <c r="D18" s="6">
        <v>89.03</v>
      </c>
      <c r="E18" s="4" t="s">
        <v>29</v>
      </c>
      <c r="Z18" s="11"/>
      <c r="AA18" s="11"/>
    </row>
    <row r="19" spans="2:27" x14ac:dyDescent="0.25">
      <c r="B19" s="5">
        <v>44508</v>
      </c>
      <c r="C19" s="4" t="s">
        <v>61</v>
      </c>
      <c r="D19" s="6">
        <v>11.81</v>
      </c>
      <c r="E19" s="4" t="s">
        <v>59</v>
      </c>
      <c r="Z19" s="11"/>
      <c r="AA19" s="11"/>
    </row>
    <row r="20" spans="2:27" x14ac:dyDescent="0.25">
      <c r="B20" s="5">
        <v>44508</v>
      </c>
      <c r="C20" s="4" t="s">
        <v>38</v>
      </c>
      <c r="D20" s="6">
        <v>1.99</v>
      </c>
      <c r="E20" s="4" t="s">
        <v>33</v>
      </c>
      <c r="Z20" s="11"/>
      <c r="AA20" s="11"/>
    </row>
    <row r="21" spans="2:27" x14ac:dyDescent="0.25">
      <c r="B21" s="5">
        <v>44509</v>
      </c>
      <c r="C21" s="4" t="s">
        <v>23</v>
      </c>
      <c r="D21" s="6">
        <v>4.1500000000000004</v>
      </c>
      <c r="E21" s="4" t="s">
        <v>24</v>
      </c>
      <c r="Z21" s="11"/>
      <c r="AA21" s="11"/>
    </row>
    <row r="22" spans="2:27" x14ac:dyDescent="0.25">
      <c r="B22" s="5">
        <v>44509</v>
      </c>
      <c r="C22" s="4" t="s">
        <v>25</v>
      </c>
      <c r="D22" s="6">
        <v>2.15</v>
      </c>
      <c r="E22" s="4" t="s">
        <v>26</v>
      </c>
      <c r="Z22" s="11"/>
      <c r="AA22" s="11"/>
    </row>
    <row r="23" spans="2:27" x14ac:dyDescent="0.25">
      <c r="B23" s="5">
        <v>44510</v>
      </c>
      <c r="C23" s="4" t="s">
        <v>27</v>
      </c>
      <c r="D23" s="6">
        <v>24.17</v>
      </c>
      <c r="E23" s="4" t="s">
        <v>26</v>
      </c>
      <c r="Z23" s="11"/>
      <c r="AA23" s="11"/>
    </row>
    <row r="24" spans="2:27" x14ac:dyDescent="0.25">
      <c r="B24" s="5">
        <v>44510</v>
      </c>
      <c r="C24" s="4" t="s">
        <v>28</v>
      </c>
      <c r="D24" s="6">
        <v>127.67</v>
      </c>
      <c r="E24" s="4" t="s">
        <v>29</v>
      </c>
      <c r="Z24" s="11"/>
      <c r="AA24" s="12"/>
    </row>
    <row r="25" spans="2:27" x14ac:dyDescent="0.25">
      <c r="B25" s="5">
        <v>44512</v>
      </c>
      <c r="C25" s="4" t="s">
        <v>27</v>
      </c>
      <c r="D25" s="6">
        <v>45.95</v>
      </c>
      <c r="E25" s="4" t="s">
        <v>26</v>
      </c>
    </row>
    <row r="26" spans="2:27" x14ac:dyDescent="0.25">
      <c r="B26" s="5">
        <v>44512</v>
      </c>
      <c r="C26" s="4" t="s">
        <v>28</v>
      </c>
      <c r="D26" s="6">
        <v>51.16</v>
      </c>
      <c r="E26" s="4" t="s">
        <v>29</v>
      </c>
    </row>
    <row r="27" spans="2:27" x14ac:dyDescent="0.25">
      <c r="B27" s="5">
        <v>44512</v>
      </c>
      <c r="C27" s="4" t="s">
        <v>30</v>
      </c>
      <c r="D27" s="6">
        <v>194.42</v>
      </c>
      <c r="E27" s="4" t="s">
        <v>31</v>
      </c>
    </row>
    <row r="28" spans="2:27" x14ac:dyDescent="0.25">
      <c r="B28" s="5">
        <v>44515</v>
      </c>
      <c r="C28" s="4" t="s">
        <v>32</v>
      </c>
      <c r="D28" s="6">
        <v>103.54</v>
      </c>
      <c r="E28" s="4" t="s">
        <v>26</v>
      </c>
    </row>
    <row r="29" spans="2:27" x14ac:dyDescent="0.25">
      <c r="B29" s="5">
        <v>44515</v>
      </c>
      <c r="C29" s="4" t="s">
        <v>4</v>
      </c>
      <c r="D29" s="6">
        <v>9.99</v>
      </c>
      <c r="E29" s="4" t="s">
        <v>33</v>
      </c>
    </row>
    <row r="30" spans="2:27" x14ac:dyDescent="0.25">
      <c r="B30" s="5">
        <v>44515</v>
      </c>
      <c r="C30" s="4" t="s">
        <v>34</v>
      </c>
      <c r="D30" s="6">
        <v>6</v>
      </c>
      <c r="E30" s="4" t="s">
        <v>26</v>
      </c>
    </row>
    <row r="31" spans="2:27" x14ac:dyDescent="0.25">
      <c r="B31" s="5">
        <v>44516</v>
      </c>
      <c r="C31" s="4" t="s">
        <v>28</v>
      </c>
      <c r="D31" s="6">
        <v>230.53</v>
      </c>
      <c r="E31" s="4" t="s">
        <v>29</v>
      </c>
    </row>
    <row r="32" spans="2:27" x14ac:dyDescent="0.25">
      <c r="B32" s="5">
        <v>44516</v>
      </c>
      <c r="C32" s="4" t="s">
        <v>5</v>
      </c>
      <c r="D32" s="6">
        <v>6.99</v>
      </c>
      <c r="E32" s="4" t="s">
        <v>33</v>
      </c>
    </row>
    <row r="33" spans="2:5" x14ac:dyDescent="0.25">
      <c r="B33" s="5">
        <v>44517</v>
      </c>
      <c r="C33" s="4" t="s">
        <v>35</v>
      </c>
      <c r="D33" s="6">
        <v>44.47</v>
      </c>
      <c r="E33" s="4" t="s">
        <v>36</v>
      </c>
    </row>
    <row r="34" spans="2:5" x14ac:dyDescent="0.25">
      <c r="B34" s="5">
        <v>44518</v>
      </c>
      <c r="C34" s="4" t="s">
        <v>37</v>
      </c>
      <c r="D34" s="6">
        <v>43.47</v>
      </c>
      <c r="E34" s="4" t="s">
        <v>29</v>
      </c>
    </row>
    <row r="35" spans="2:5" x14ac:dyDescent="0.25">
      <c r="B35" s="5">
        <v>44522</v>
      </c>
      <c r="C35" s="4" t="s">
        <v>38</v>
      </c>
      <c r="D35" s="6">
        <v>2.99</v>
      </c>
      <c r="E35" s="4" t="s">
        <v>33</v>
      </c>
    </row>
    <row r="36" spans="2:5" x14ac:dyDescent="0.25">
      <c r="B36" s="5">
        <v>44522</v>
      </c>
      <c r="C36" s="4" t="s">
        <v>39</v>
      </c>
      <c r="D36" s="6">
        <v>3</v>
      </c>
      <c r="E36" s="4" t="s">
        <v>40</v>
      </c>
    </row>
    <row r="37" spans="2:5" x14ac:dyDescent="0.25">
      <c r="B37" s="5">
        <v>44522</v>
      </c>
      <c r="C37" s="4" t="s">
        <v>41</v>
      </c>
      <c r="D37" s="6">
        <v>48</v>
      </c>
      <c r="E37" s="4" t="s">
        <v>42</v>
      </c>
    </row>
    <row r="38" spans="2:5" x14ac:dyDescent="0.25">
      <c r="B38" s="5">
        <v>44523</v>
      </c>
      <c r="C38" s="4" t="s">
        <v>43</v>
      </c>
      <c r="D38" s="6">
        <v>13.5</v>
      </c>
      <c r="E38" s="4" t="s">
        <v>26</v>
      </c>
    </row>
    <row r="39" spans="2:5" x14ac:dyDescent="0.25">
      <c r="B39" s="5">
        <v>44523</v>
      </c>
      <c r="C39" s="4" t="s">
        <v>44</v>
      </c>
      <c r="D39" s="6">
        <v>4.99</v>
      </c>
      <c r="E39" s="4" t="s">
        <v>33</v>
      </c>
    </row>
    <row r="40" spans="2:5" x14ac:dyDescent="0.25">
      <c r="B40" s="5">
        <v>44524</v>
      </c>
      <c r="C40" s="4" t="s">
        <v>45</v>
      </c>
      <c r="D40" s="6">
        <v>2.99</v>
      </c>
      <c r="E40" s="4" t="s">
        <v>26</v>
      </c>
    </row>
    <row r="41" spans="2:5" x14ac:dyDescent="0.25">
      <c r="B41" s="5">
        <v>44524</v>
      </c>
      <c r="C41" s="4" t="s">
        <v>46</v>
      </c>
      <c r="D41" s="6">
        <v>24.55</v>
      </c>
      <c r="E41" s="4" t="s">
        <v>26</v>
      </c>
    </row>
    <row r="42" spans="2:5" x14ac:dyDescent="0.25">
      <c r="B42" s="5">
        <v>44524</v>
      </c>
      <c r="C42" s="4" t="s">
        <v>47</v>
      </c>
      <c r="D42" s="6">
        <v>10.75</v>
      </c>
      <c r="E42" s="4" t="s">
        <v>26</v>
      </c>
    </row>
    <row r="43" spans="2:5" x14ac:dyDescent="0.25">
      <c r="B43" s="5">
        <v>44526</v>
      </c>
      <c r="C43" s="4" t="s">
        <v>48</v>
      </c>
      <c r="D43" s="6">
        <v>9.9499999999999993</v>
      </c>
      <c r="E43" s="4" t="s">
        <v>24</v>
      </c>
    </row>
    <row r="44" spans="2:5" x14ac:dyDescent="0.25">
      <c r="B44" s="5">
        <v>44526</v>
      </c>
      <c r="C44" s="4" t="s">
        <v>49</v>
      </c>
      <c r="D44" s="6">
        <v>13.23</v>
      </c>
      <c r="E44" s="4" t="s">
        <v>24</v>
      </c>
    </row>
    <row r="45" spans="2:5" x14ac:dyDescent="0.25">
      <c r="B45" s="5">
        <v>44526</v>
      </c>
      <c r="C45" s="4" t="s">
        <v>45</v>
      </c>
      <c r="D45" s="6">
        <v>2.99</v>
      </c>
      <c r="E45" s="4" t="s">
        <v>26</v>
      </c>
    </row>
    <row r="46" spans="2:5" x14ac:dyDescent="0.25">
      <c r="B46" s="5">
        <v>44526</v>
      </c>
      <c r="C46" s="4" t="s">
        <v>45</v>
      </c>
      <c r="D46" s="6">
        <v>2.99</v>
      </c>
      <c r="E46" s="4" t="s">
        <v>26</v>
      </c>
    </row>
    <row r="47" spans="2:5" x14ac:dyDescent="0.25">
      <c r="B47" s="5">
        <v>44526</v>
      </c>
      <c r="C47" s="4" t="s">
        <v>49</v>
      </c>
      <c r="D47" s="6">
        <v>12.17</v>
      </c>
      <c r="E47" s="4" t="s">
        <v>24</v>
      </c>
    </row>
    <row r="48" spans="2:5" x14ac:dyDescent="0.25">
      <c r="B48" s="5">
        <v>44526</v>
      </c>
      <c r="C48" s="4" t="s">
        <v>50</v>
      </c>
      <c r="D48" s="6">
        <v>1.99</v>
      </c>
      <c r="E48" s="4" t="s">
        <v>24</v>
      </c>
    </row>
    <row r="49" spans="2:5" x14ac:dyDescent="0.25">
      <c r="B49" s="5">
        <v>44526</v>
      </c>
      <c r="C49" s="4" t="s">
        <v>45</v>
      </c>
      <c r="D49" s="6">
        <v>2.99</v>
      </c>
      <c r="E49" s="4" t="s">
        <v>26</v>
      </c>
    </row>
    <row r="50" spans="2:5" x14ac:dyDescent="0.25">
      <c r="B50" s="5">
        <v>44526</v>
      </c>
      <c r="C50" s="4" t="s">
        <v>45</v>
      </c>
      <c r="D50" s="6">
        <v>2.99</v>
      </c>
      <c r="E50" s="4" t="s">
        <v>26</v>
      </c>
    </row>
    <row r="51" spans="2:5" x14ac:dyDescent="0.25">
      <c r="B51" s="5">
        <v>44526</v>
      </c>
      <c r="C51" s="4" t="s">
        <v>51</v>
      </c>
      <c r="D51" s="6">
        <v>11.6</v>
      </c>
      <c r="E51" s="4" t="s">
        <v>29</v>
      </c>
    </row>
    <row r="52" spans="2:5" x14ac:dyDescent="0.25">
      <c r="B52" s="5">
        <v>44526</v>
      </c>
      <c r="C52" s="4" t="s">
        <v>45</v>
      </c>
      <c r="D52" s="6">
        <v>2.99</v>
      </c>
      <c r="E52" s="4" t="s">
        <v>26</v>
      </c>
    </row>
    <row r="53" spans="2:5" x14ac:dyDescent="0.25">
      <c r="B53" s="5">
        <v>44526</v>
      </c>
      <c r="C53" s="4" t="s">
        <v>45</v>
      </c>
      <c r="D53" s="6">
        <v>2.99</v>
      </c>
      <c r="E53" s="4" t="s">
        <v>26</v>
      </c>
    </row>
    <row r="54" spans="2:5" x14ac:dyDescent="0.25">
      <c r="B54" s="5">
        <v>44526</v>
      </c>
      <c r="C54" s="4" t="s">
        <v>45</v>
      </c>
      <c r="D54" s="6">
        <v>2.99</v>
      </c>
      <c r="E54" s="4" t="s">
        <v>26</v>
      </c>
    </row>
    <row r="55" spans="2:5" x14ac:dyDescent="0.25">
      <c r="B55" s="5">
        <v>44526</v>
      </c>
      <c r="C55" s="4" t="s">
        <v>45</v>
      </c>
      <c r="D55" s="6">
        <v>2.99</v>
      </c>
      <c r="E55" s="4" t="s">
        <v>26</v>
      </c>
    </row>
    <row r="56" spans="2:5" x14ac:dyDescent="0.25">
      <c r="B56" s="5">
        <v>44526</v>
      </c>
      <c r="C56" s="4" t="s">
        <v>45</v>
      </c>
      <c r="D56" s="6">
        <v>2.99</v>
      </c>
      <c r="E56" s="4" t="s">
        <v>26</v>
      </c>
    </row>
    <row r="57" spans="2:5" x14ac:dyDescent="0.25">
      <c r="B57" s="5">
        <v>44526</v>
      </c>
      <c r="C57" s="4" t="s">
        <v>45</v>
      </c>
      <c r="D57" s="6">
        <v>2.99</v>
      </c>
      <c r="E57" s="4" t="s">
        <v>26</v>
      </c>
    </row>
    <row r="58" spans="2:5" x14ac:dyDescent="0.25">
      <c r="B58" s="5">
        <v>44529</v>
      </c>
      <c r="C58" s="4" t="s">
        <v>62</v>
      </c>
      <c r="D58" s="6">
        <v>84.68</v>
      </c>
      <c r="E58" s="4" t="s">
        <v>31</v>
      </c>
    </row>
    <row r="59" spans="2:5" x14ac:dyDescent="0.25">
      <c r="B59" s="5">
        <v>44530</v>
      </c>
      <c r="C59" s="4" t="s">
        <v>63</v>
      </c>
      <c r="D59" s="6">
        <v>96.75</v>
      </c>
      <c r="E59" s="4" t="s">
        <v>26</v>
      </c>
    </row>
    <row r="60" spans="2:5" x14ac:dyDescent="0.25">
      <c r="B60" s="5">
        <v>44530</v>
      </c>
      <c r="C60" s="4" t="s">
        <v>25</v>
      </c>
      <c r="D60" s="6">
        <v>2.15</v>
      </c>
      <c r="E60" s="4" t="s">
        <v>24</v>
      </c>
    </row>
    <row r="61" spans="2:5" x14ac:dyDescent="0.25">
      <c r="B61" s="5">
        <v>44530</v>
      </c>
      <c r="C61" s="4" t="s">
        <v>64</v>
      </c>
      <c r="D61" s="6">
        <v>90.94</v>
      </c>
      <c r="E61" s="4" t="s">
        <v>31</v>
      </c>
    </row>
    <row r="62" spans="2:5" x14ac:dyDescent="0.25">
      <c r="B62" s="5">
        <v>44530</v>
      </c>
      <c r="C62" s="4" t="s">
        <v>65</v>
      </c>
      <c r="D62" s="6">
        <v>222.38</v>
      </c>
      <c r="E62" s="4" t="s">
        <v>66</v>
      </c>
    </row>
    <row r="63" spans="2:5" x14ac:dyDescent="0.25">
      <c r="B63" s="5">
        <v>44531</v>
      </c>
      <c r="C63" s="4" t="s">
        <v>67</v>
      </c>
      <c r="D63" s="6">
        <v>127</v>
      </c>
      <c r="E63" s="4" t="s">
        <v>66</v>
      </c>
    </row>
    <row r="64" spans="2:5" x14ac:dyDescent="0.25">
      <c r="B64" s="5">
        <v>44531</v>
      </c>
      <c r="C64" s="4" t="s">
        <v>52</v>
      </c>
      <c r="D64" s="6">
        <v>69.989999999999995</v>
      </c>
      <c r="E64" s="4" t="s">
        <v>33</v>
      </c>
    </row>
    <row r="65" spans="2:5" x14ac:dyDescent="0.25">
      <c r="B65" s="5">
        <v>44532</v>
      </c>
      <c r="C65" s="4" t="s">
        <v>27</v>
      </c>
      <c r="D65" s="6">
        <v>83.76</v>
      </c>
      <c r="E65" s="4" t="s">
        <v>26</v>
      </c>
    </row>
    <row r="66" spans="2:5" x14ac:dyDescent="0.25">
      <c r="B66" s="5">
        <v>44532</v>
      </c>
      <c r="C66" s="4" t="s">
        <v>9</v>
      </c>
      <c r="D66" s="6">
        <v>44</v>
      </c>
      <c r="E66" s="4" t="s">
        <v>33</v>
      </c>
    </row>
    <row r="67" spans="2:5" x14ac:dyDescent="0.25">
      <c r="B67" s="5">
        <v>44532</v>
      </c>
      <c r="C67" s="4" t="s">
        <v>39</v>
      </c>
      <c r="D67" s="6">
        <v>2</v>
      </c>
      <c r="E67" s="4" t="s">
        <v>40</v>
      </c>
    </row>
    <row r="68" spans="2:5" x14ac:dyDescent="0.25">
      <c r="B68" s="5">
        <v>44533</v>
      </c>
      <c r="C68" s="4" t="s">
        <v>25</v>
      </c>
      <c r="D68" s="6">
        <v>3.76</v>
      </c>
      <c r="E68" s="4" t="s">
        <v>24</v>
      </c>
    </row>
    <row r="69" spans="2:5" x14ac:dyDescent="0.25">
      <c r="B69" s="5">
        <v>44536</v>
      </c>
      <c r="C69" s="4" t="s">
        <v>68</v>
      </c>
      <c r="D69" s="6">
        <v>20</v>
      </c>
      <c r="E69" s="4" t="s">
        <v>26</v>
      </c>
    </row>
    <row r="70" spans="2:5" x14ac:dyDescent="0.25">
      <c r="B70" s="5">
        <v>44536</v>
      </c>
      <c r="C70" s="4" t="s">
        <v>57</v>
      </c>
      <c r="D70" s="6">
        <v>135.83000000000001</v>
      </c>
      <c r="E70" s="4" t="s">
        <v>33</v>
      </c>
    </row>
    <row r="71" spans="2:5" x14ac:dyDescent="0.25">
      <c r="B71" s="5">
        <v>44536</v>
      </c>
      <c r="C71" s="4" t="s">
        <v>69</v>
      </c>
      <c r="D71" s="6">
        <v>19.989999999999998</v>
      </c>
      <c r="E71" s="4" t="s">
        <v>40</v>
      </c>
    </row>
    <row r="72" spans="2:5" x14ac:dyDescent="0.25">
      <c r="B72" s="5">
        <v>44536</v>
      </c>
      <c r="C72" s="4" t="s">
        <v>70</v>
      </c>
      <c r="D72" s="6">
        <v>32.72</v>
      </c>
      <c r="E72" s="4" t="s">
        <v>40</v>
      </c>
    </row>
    <row r="73" spans="2:5" x14ac:dyDescent="0.25">
      <c r="B73" s="5">
        <v>44536</v>
      </c>
      <c r="C73" s="4" t="s">
        <v>71</v>
      </c>
      <c r="D73" s="6">
        <v>80</v>
      </c>
      <c r="E73" s="4" t="s">
        <v>29</v>
      </c>
    </row>
    <row r="74" spans="2:5" x14ac:dyDescent="0.25">
      <c r="B74" s="5">
        <v>44537</v>
      </c>
      <c r="C74" s="4" t="s">
        <v>72</v>
      </c>
      <c r="D74" s="6">
        <v>429.6</v>
      </c>
      <c r="E74" s="4" t="s">
        <v>40</v>
      </c>
    </row>
    <row r="75" spans="2:5" x14ac:dyDescent="0.25">
      <c r="B75" s="5">
        <v>44537</v>
      </c>
      <c r="C75" s="4" t="s">
        <v>73</v>
      </c>
      <c r="D75" s="6">
        <v>15</v>
      </c>
      <c r="E75" s="4" t="s">
        <v>40</v>
      </c>
    </row>
    <row r="76" spans="2:5" x14ac:dyDescent="0.25">
      <c r="B76" s="5">
        <v>44537</v>
      </c>
      <c r="C76" s="4" t="s">
        <v>74</v>
      </c>
      <c r="D76" s="6">
        <v>90.27</v>
      </c>
      <c r="E76" s="4" t="s">
        <v>40</v>
      </c>
    </row>
    <row r="77" spans="2:5" x14ac:dyDescent="0.25">
      <c r="B77" s="5">
        <v>44539</v>
      </c>
      <c r="C77" s="4" t="s">
        <v>38</v>
      </c>
      <c r="D77" s="6">
        <v>1.99</v>
      </c>
      <c r="E77" s="4" t="s">
        <v>33</v>
      </c>
    </row>
    <row r="78" spans="2:5" x14ac:dyDescent="0.25">
      <c r="B78" s="5">
        <v>44543</v>
      </c>
      <c r="C78" s="4" t="s">
        <v>27</v>
      </c>
      <c r="D78" s="6">
        <v>35.39</v>
      </c>
      <c r="E78" s="4" t="s">
        <v>29</v>
      </c>
    </row>
    <row r="79" spans="2:5" x14ac:dyDescent="0.25">
      <c r="B79" s="5">
        <v>44543</v>
      </c>
      <c r="C79" s="4" t="s">
        <v>23</v>
      </c>
      <c r="D79" s="6">
        <v>10.06</v>
      </c>
      <c r="E79" s="4" t="s">
        <v>24</v>
      </c>
    </row>
    <row r="80" spans="2:5" x14ac:dyDescent="0.25">
      <c r="B80" s="5">
        <v>44543</v>
      </c>
      <c r="C80" s="4" t="s">
        <v>25</v>
      </c>
      <c r="D80" s="6">
        <v>2.15</v>
      </c>
      <c r="E80" s="4" t="s">
        <v>24</v>
      </c>
    </row>
    <row r="81" spans="2:5" x14ac:dyDescent="0.25">
      <c r="B81" s="5">
        <v>44543</v>
      </c>
      <c r="C81" s="4" t="s">
        <v>70</v>
      </c>
      <c r="D81" s="6">
        <v>34.229999999999997</v>
      </c>
      <c r="E81" s="4" t="s">
        <v>40</v>
      </c>
    </row>
    <row r="82" spans="2:5" x14ac:dyDescent="0.25">
      <c r="B82" s="5">
        <v>44543</v>
      </c>
      <c r="C82" s="4" t="s">
        <v>62</v>
      </c>
      <c r="D82" s="6">
        <v>45.83</v>
      </c>
      <c r="E82" s="4" t="s">
        <v>31</v>
      </c>
    </row>
    <row r="83" spans="2:5" x14ac:dyDescent="0.25">
      <c r="B83" s="5">
        <v>44544</v>
      </c>
      <c r="C83" s="4" t="s">
        <v>4</v>
      </c>
      <c r="D83" s="6">
        <v>9.99</v>
      </c>
      <c r="E83" s="4" t="s">
        <v>33</v>
      </c>
    </row>
    <row r="84" spans="2:5" x14ac:dyDescent="0.25">
      <c r="B84" s="5">
        <v>44545</v>
      </c>
      <c r="C84" s="4" t="s">
        <v>27</v>
      </c>
      <c r="D84" s="6">
        <v>38.9</v>
      </c>
      <c r="E84" s="4" t="s">
        <v>29</v>
      </c>
    </row>
    <row r="85" spans="2:5" x14ac:dyDescent="0.25">
      <c r="B85" s="5">
        <v>44545</v>
      </c>
      <c r="C85" s="4" t="s">
        <v>25</v>
      </c>
      <c r="D85" s="6">
        <v>2.15</v>
      </c>
      <c r="E85" s="4" t="s">
        <v>24</v>
      </c>
    </row>
    <row r="86" spans="2:5" x14ac:dyDescent="0.25">
      <c r="B86" s="5">
        <v>44546</v>
      </c>
      <c r="C86" s="4" t="s">
        <v>5</v>
      </c>
      <c r="D86" s="6">
        <v>6.99</v>
      </c>
      <c r="E86" s="4" t="s">
        <v>33</v>
      </c>
    </row>
    <row r="87" spans="2:5" x14ac:dyDescent="0.25">
      <c r="B87" s="5">
        <v>44546</v>
      </c>
      <c r="C87" s="4" t="s">
        <v>75</v>
      </c>
      <c r="D87" s="6">
        <v>250</v>
      </c>
      <c r="E87" s="4" t="s">
        <v>76</v>
      </c>
    </row>
    <row r="88" spans="2:5" x14ac:dyDescent="0.25">
      <c r="B88" s="5">
        <v>44546</v>
      </c>
      <c r="C88" s="4" t="s">
        <v>25</v>
      </c>
      <c r="D88" s="6">
        <v>1.88</v>
      </c>
      <c r="E88" s="4" t="s">
        <v>24</v>
      </c>
    </row>
    <row r="89" spans="2:5" x14ac:dyDescent="0.25">
      <c r="B89" s="5">
        <v>44550</v>
      </c>
      <c r="C89" s="4" t="s">
        <v>77</v>
      </c>
      <c r="D89" s="6">
        <v>8.49</v>
      </c>
      <c r="E89" s="4" t="s">
        <v>26</v>
      </c>
    </row>
    <row r="90" spans="2:5" x14ac:dyDescent="0.25">
      <c r="B90" s="5">
        <v>44550</v>
      </c>
      <c r="C90" s="4" t="s">
        <v>78</v>
      </c>
      <c r="D90" s="6">
        <v>24.07</v>
      </c>
      <c r="E90" s="4" t="s">
        <v>24</v>
      </c>
    </row>
    <row r="91" spans="2:5" x14ac:dyDescent="0.25">
      <c r="B91" s="5">
        <v>44550</v>
      </c>
      <c r="C91" s="4" t="s">
        <v>38</v>
      </c>
      <c r="D91" s="6">
        <v>2.99</v>
      </c>
      <c r="E91" s="4" t="s">
        <v>33</v>
      </c>
    </row>
    <row r="92" spans="2:5" x14ac:dyDescent="0.25">
      <c r="B92" s="5">
        <v>44550</v>
      </c>
      <c r="C92" s="4" t="s">
        <v>79</v>
      </c>
      <c r="D92" s="6">
        <v>28.38</v>
      </c>
      <c r="E92" s="4" t="s">
        <v>26</v>
      </c>
    </row>
    <row r="93" spans="2:5" x14ac:dyDescent="0.25">
      <c r="B93" s="5">
        <v>44550</v>
      </c>
      <c r="C93" s="4" t="s">
        <v>34</v>
      </c>
      <c r="D93" s="6">
        <v>40.01</v>
      </c>
      <c r="E93" s="4" t="s">
        <v>26</v>
      </c>
    </row>
    <row r="94" spans="2:5" x14ac:dyDescent="0.25">
      <c r="B94" s="5">
        <v>44552</v>
      </c>
      <c r="C94" s="4" t="s">
        <v>44</v>
      </c>
      <c r="D94" s="6">
        <v>4.99</v>
      </c>
      <c r="E94" s="4" t="s">
        <v>33</v>
      </c>
    </row>
    <row r="95" spans="2:5" x14ac:dyDescent="0.25">
      <c r="B95" s="5">
        <v>44551</v>
      </c>
      <c r="C95" s="4" t="s">
        <v>80</v>
      </c>
      <c r="D95" s="6">
        <v>9.99</v>
      </c>
      <c r="E95" s="4" t="s">
        <v>26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terate_Over_30day_Periods">
                <anchor moveWithCells="1" sizeWithCells="1">
                  <from>
                    <xdr:col>20</xdr:col>
                    <xdr:colOff>9525</xdr:colOff>
                    <xdr:row>1</xdr:row>
                    <xdr:rowOff>0</xdr:rowOff>
                  </from>
                  <to>
                    <xdr:col>21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78D33-8725-40C0-8A5F-EC351E11F732}">
  <sheetPr codeName="Sheet4"/>
  <dimension ref="B1:S95"/>
  <sheetViews>
    <sheetView topLeftCell="A17" workbookViewId="0">
      <selection activeCell="G53" sqref="G53"/>
    </sheetView>
  </sheetViews>
  <sheetFormatPr defaultRowHeight="15" x14ac:dyDescent="0.25"/>
  <cols>
    <col min="2" max="2" width="15.7109375" style="4" customWidth="1"/>
    <col min="3" max="3" width="30.7109375" style="4" customWidth="1"/>
    <col min="4" max="4" width="15.7109375" style="6" customWidth="1"/>
    <col min="5" max="5" width="15.7109375" style="4" customWidth="1"/>
    <col min="8" max="19" width="10.7109375" customWidth="1"/>
  </cols>
  <sheetData>
    <row r="1" spans="2:19" x14ac:dyDescent="0.25">
      <c r="D1" s="4"/>
    </row>
    <row r="2" spans="2:19" x14ac:dyDescent="0.25">
      <c r="B2" s="4" t="s">
        <v>19</v>
      </c>
      <c r="C2" s="4" t="s">
        <v>20</v>
      </c>
      <c r="D2" s="4" t="s">
        <v>21</v>
      </c>
      <c r="E2" s="4" t="s">
        <v>22</v>
      </c>
      <c r="H2" s="4" t="s">
        <v>84</v>
      </c>
      <c r="I2" s="4" t="s">
        <v>33</v>
      </c>
      <c r="J2" s="4" t="s">
        <v>29</v>
      </c>
      <c r="K2" s="4" t="s">
        <v>85</v>
      </c>
      <c r="L2" s="4" t="s">
        <v>66</v>
      </c>
      <c r="M2" s="4" t="s">
        <v>36</v>
      </c>
      <c r="N2" s="4" t="s">
        <v>24</v>
      </c>
      <c r="O2" s="4" t="s">
        <v>31</v>
      </c>
      <c r="P2" s="4" t="s">
        <v>26</v>
      </c>
      <c r="Q2" s="4" t="s">
        <v>40</v>
      </c>
      <c r="R2" s="4" t="s">
        <v>42</v>
      </c>
      <c r="S2" s="4" t="s">
        <v>86</v>
      </c>
    </row>
    <row r="3" spans="2:19" x14ac:dyDescent="0.25">
      <c r="B3" s="5">
        <v>44501</v>
      </c>
      <c r="C3" s="4" t="s">
        <v>27</v>
      </c>
      <c r="D3" s="6">
        <v>19.04</v>
      </c>
      <c r="E3" s="4" t="s">
        <v>26</v>
      </c>
      <c r="H3" t="s">
        <v>87</v>
      </c>
    </row>
    <row r="4" spans="2:19" x14ac:dyDescent="0.25">
      <c r="B4" s="5">
        <v>44501</v>
      </c>
      <c r="C4" s="4" t="s">
        <v>52</v>
      </c>
      <c r="D4" s="6">
        <v>69.989999999999995</v>
      </c>
      <c r="E4" s="4" t="s">
        <v>33</v>
      </c>
    </row>
    <row r="5" spans="2:19" x14ac:dyDescent="0.25">
      <c r="B5" s="5">
        <v>44502</v>
      </c>
      <c r="C5" s="4" t="s">
        <v>27</v>
      </c>
      <c r="D5" s="6">
        <v>31.16</v>
      </c>
      <c r="E5" s="4" t="s">
        <v>26</v>
      </c>
    </row>
    <row r="6" spans="2:19" x14ac:dyDescent="0.25">
      <c r="B6" s="5">
        <v>44502</v>
      </c>
      <c r="C6" s="4" t="s">
        <v>9</v>
      </c>
      <c r="D6" s="6">
        <v>44</v>
      </c>
      <c r="E6" s="4" t="s">
        <v>33</v>
      </c>
    </row>
    <row r="7" spans="2:19" x14ac:dyDescent="0.25">
      <c r="B7" s="5">
        <v>44502</v>
      </c>
      <c r="C7" s="4" t="s">
        <v>53</v>
      </c>
      <c r="D7" s="6">
        <v>3.15</v>
      </c>
      <c r="E7" s="4" t="s">
        <v>24</v>
      </c>
    </row>
    <row r="8" spans="2:19" x14ac:dyDescent="0.25">
      <c r="B8" s="5">
        <v>44502</v>
      </c>
      <c r="C8" s="4" t="s">
        <v>54</v>
      </c>
      <c r="D8" s="6">
        <v>2.15</v>
      </c>
      <c r="E8" s="4" t="s">
        <v>24</v>
      </c>
    </row>
    <row r="9" spans="2:19" x14ac:dyDescent="0.25">
      <c r="B9" s="5">
        <v>44502</v>
      </c>
      <c r="C9" s="4" t="s">
        <v>55</v>
      </c>
      <c r="D9" s="6">
        <v>5</v>
      </c>
      <c r="E9" s="4" t="s">
        <v>33</v>
      </c>
    </row>
    <row r="10" spans="2:19" x14ac:dyDescent="0.25">
      <c r="B10" s="5">
        <v>44502</v>
      </c>
      <c r="C10" s="4" t="s">
        <v>28</v>
      </c>
      <c r="D10" s="6">
        <v>107.6</v>
      </c>
      <c r="E10" s="4" t="s">
        <v>29</v>
      </c>
    </row>
    <row r="11" spans="2:19" x14ac:dyDescent="0.25">
      <c r="B11" s="5">
        <v>44503</v>
      </c>
      <c r="C11" s="4" t="s">
        <v>56</v>
      </c>
      <c r="D11" s="6">
        <v>25</v>
      </c>
      <c r="E11" s="4" t="s">
        <v>33</v>
      </c>
    </row>
    <row r="12" spans="2:19" x14ac:dyDescent="0.25">
      <c r="B12" s="5">
        <v>44503</v>
      </c>
      <c r="C12" s="4" t="s">
        <v>54</v>
      </c>
      <c r="D12" s="6">
        <v>6.45</v>
      </c>
      <c r="E12" s="4" t="s">
        <v>24</v>
      </c>
    </row>
    <row r="13" spans="2:19" x14ac:dyDescent="0.25">
      <c r="B13" s="5">
        <v>44505</v>
      </c>
      <c r="C13" s="4" t="s">
        <v>57</v>
      </c>
      <c r="D13" s="6">
        <v>135.83000000000001</v>
      </c>
      <c r="E13" s="4" t="s">
        <v>33</v>
      </c>
    </row>
    <row r="14" spans="2:19" x14ac:dyDescent="0.25">
      <c r="B14" s="5">
        <v>44505</v>
      </c>
      <c r="C14" s="4" t="s">
        <v>54</v>
      </c>
      <c r="D14" s="6">
        <v>5.36</v>
      </c>
      <c r="E14" s="4" t="s">
        <v>24</v>
      </c>
    </row>
    <row r="15" spans="2:19" x14ac:dyDescent="0.25">
      <c r="B15" s="5">
        <v>44508</v>
      </c>
      <c r="C15" s="4" t="s">
        <v>58</v>
      </c>
      <c r="D15" s="6">
        <v>12</v>
      </c>
      <c r="E15" s="4" t="s">
        <v>59</v>
      </c>
      <c r="J15">
        <f>SUMIF(E3:E62,"Project",D3:D62)</f>
        <v>749.66000000000008</v>
      </c>
    </row>
    <row r="16" spans="2:19" x14ac:dyDescent="0.25">
      <c r="B16" s="5">
        <v>44508</v>
      </c>
      <c r="C16" s="4" t="s">
        <v>37</v>
      </c>
      <c r="D16" s="6">
        <v>88.6</v>
      </c>
      <c r="E16" s="4" t="s">
        <v>29</v>
      </c>
    </row>
    <row r="17" spans="2:10" x14ac:dyDescent="0.25">
      <c r="B17" s="5">
        <v>44508</v>
      </c>
      <c r="C17" s="4" t="s">
        <v>27</v>
      </c>
      <c r="D17" s="6">
        <v>24.17</v>
      </c>
      <c r="E17" s="4" t="s">
        <v>26</v>
      </c>
    </row>
    <row r="18" spans="2:10" x14ac:dyDescent="0.25">
      <c r="B18" s="5">
        <v>44508</v>
      </c>
      <c r="C18" s="4" t="s">
        <v>60</v>
      </c>
      <c r="D18" s="6">
        <v>89.03</v>
      </c>
      <c r="E18" s="4" t="s">
        <v>29</v>
      </c>
      <c r="J18" s="2"/>
    </row>
    <row r="19" spans="2:10" x14ac:dyDescent="0.25">
      <c r="B19" s="5">
        <v>44508</v>
      </c>
      <c r="C19" s="4" t="s">
        <v>61</v>
      </c>
      <c r="D19" s="6">
        <v>11.81</v>
      </c>
      <c r="E19" s="4" t="s">
        <v>59</v>
      </c>
      <c r="J19" s="2"/>
    </row>
    <row r="20" spans="2:10" x14ac:dyDescent="0.25">
      <c r="B20" s="5">
        <v>44508</v>
      </c>
      <c r="C20" s="4" t="s">
        <v>38</v>
      </c>
      <c r="D20" s="6">
        <v>1.99</v>
      </c>
      <c r="E20" s="4" t="s">
        <v>33</v>
      </c>
      <c r="J20" s="2"/>
    </row>
    <row r="21" spans="2:10" x14ac:dyDescent="0.25">
      <c r="B21" s="5">
        <v>44509</v>
      </c>
      <c r="C21" s="4" t="s">
        <v>23</v>
      </c>
      <c r="D21" s="6">
        <v>4.1500000000000004</v>
      </c>
      <c r="E21" s="4" t="s">
        <v>24</v>
      </c>
      <c r="J21" s="2"/>
    </row>
    <row r="22" spans="2:10" x14ac:dyDescent="0.25">
      <c r="B22" s="5">
        <v>44509</v>
      </c>
      <c r="C22" s="4" t="s">
        <v>25</v>
      </c>
      <c r="D22" s="6">
        <v>2.15</v>
      </c>
      <c r="E22" s="4" t="s">
        <v>26</v>
      </c>
      <c r="J22" s="2"/>
    </row>
    <row r="23" spans="2:10" x14ac:dyDescent="0.25">
      <c r="B23" s="5">
        <v>44510</v>
      </c>
      <c r="C23" s="4" t="s">
        <v>27</v>
      </c>
      <c r="D23" s="6">
        <v>24.17</v>
      </c>
      <c r="E23" s="4" t="s">
        <v>26</v>
      </c>
      <c r="J23" s="2"/>
    </row>
    <row r="24" spans="2:10" x14ac:dyDescent="0.25">
      <c r="B24" s="5">
        <v>44510</v>
      </c>
      <c r="C24" s="4" t="s">
        <v>28</v>
      </c>
      <c r="D24" s="6">
        <v>127.67</v>
      </c>
      <c r="E24" s="4" t="s">
        <v>29</v>
      </c>
      <c r="J24" s="2"/>
    </row>
    <row r="25" spans="2:10" x14ac:dyDescent="0.25">
      <c r="B25" s="5">
        <v>44512</v>
      </c>
      <c r="C25" s="4" t="s">
        <v>27</v>
      </c>
      <c r="D25" s="6">
        <v>45.95</v>
      </c>
      <c r="E25" s="4" t="s">
        <v>26</v>
      </c>
      <c r="J25" s="2"/>
    </row>
    <row r="26" spans="2:10" x14ac:dyDescent="0.25">
      <c r="B26" s="5">
        <v>44512</v>
      </c>
      <c r="C26" s="4" t="s">
        <v>28</v>
      </c>
      <c r="D26" s="6">
        <v>51.16</v>
      </c>
      <c r="E26" s="4" t="s">
        <v>29</v>
      </c>
      <c r="J26" s="2"/>
    </row>
    <row r="27" spans="2:10" x14ac:dyDescent="0.25">
      <c r="B27" s="5">
        <v>44512</v>
      </c>
      <c r="C27" s="4" t="s">
        <v>30</v>
      </c>
      <c r="D27" s="6">
        <v>194.42</v>
      </c>
      <c r="E27" s="4" t="s">
        <v>31</v>
      </c>
      <c r="J27" s="2"/>
    </row>
    <row r="28" spans="2:10" x14ac:dyDescent="0.25">
      <c r="B28" s="5">
        <v>44515</v>
      </c>
      <c r="C28" s="4" t="s">
        <v>32</v>
      </c>
      <c r="D28" s="6">
        <v>103.54</v>
      </c>
      <c r="E28" s="4" t="s">
        <v>26</v>
      </c>
    </row>
    <row r="29" spans="2:10" x14ac:dyDescent="0.25">
      <c r="B29" s="5">
        <v>44515</v>
      </c>
      <c r="C29" s="4" t="s">
        <v>4</v>
      </c>
      <c r="D29" s="6">
        <v>9.99</v>
      </c>
      <c r="E29" s="4" t="s">
        <v>33</v>
      </c>
    </row>
    <row r="30" spans="2:10" x14ac:dyDescent="0.25">
      <c r="B30" s="5">
        <v>44515</v>
      </c>
      <c r="C30" s="4" t="s">
        <v>34</v>
      </c>
      <c r="D30" s="6">
        <v>6</v>
      </c>
      <c r="E30" s="4" t="s">
        <v>26</v>
      </c>
    </row>
    <row r="31" spans="2:10" x14ac:dyDescent="0.25">
      <c r="B31" s="5">
        <v>44516</v>
      </c>
      <c r="C31" s="4" t="s">
        <v>28</v>
      </c>
      <c r="D31" s="6">
        <v>230.53</v>
      </c>
      <c r="E31" s="4" t="s">
        <v>29</v>
      </c>
    </row>
    <row r="32" spans="2:10" x14ac:dyDescent="0.25">
      <c r="B32" s="5">
        <v>44516</v>
      </c>
      <c r="C32" s="4" t="s">
        <v>5</v>
      </c>
      <c r="D32" s="6">
        <v>6.99</v>
      </c>
      <c r="E32" s="4" t="s">
        <v>33</v>
      </c>
    </row>
    <row r="33" spans="2:5" x14ac:dyDescent="0.25">
      <c r="B33" s="5">
        <v>44517</v>
      </c>
      <c r="C33" s="4" t="s">
        <v>35</v>
      </c>
      <c r="D33" s="6">
        <v>44.47</v>
      </c>
      <c r="E33" s="4" t="s">
        <v>36</v>
      </c>
    </row>
    <row r="34" spans="2:5" x14ac:dyDescent="0.25">
      <c r="B34" s="5">
        <v>44518</v>
      </c>
      <c r="C34" s="4" t="s">
        <v>37</v>
      </c>
      <c r="D34" s="6">
        <v>43.47</v>
      </c>
      <c r="E34" s="4" t="s">
        <v>29</v>
      </c>
    </row>
    <row r="35" spans="2:5" x14ac:dyDescent="0.25">
      <c r="B35" s="5">
        <v>44522</v>
      </c>
      <c r="C35" s="4" t="s">
        <v>38</v>
      </c>
      <c r="D35" s="6">
        <v>2.99</v>
      </c>
      <c r="E35" s="4" t="s">
        <v>33</v>
      </c>
    </row>
    <row r="36" spans="2:5" x14ac:dyDescent="0.25">
      <c r="B36" s="5">
        <v>44522</v>
      </c>
      <c r="C36" s="4" t="s">
        <v>39</v>
      </c>
      <c r="D36" s="6">
        <v>3</v>
      </c>
      <c r="E36" s="4" t="s">
        <v>40</v>
      </c>
    </row>
    <row r="37" spans="2:5" x14ac:dyDescent="0.25">
      <c r="B37" s="5">
        <v>44522</v>
      </c>
      <c r="C37" s="4" t="s">
        <v>41</v>
      </c>
      <c r="D37" s="6">
        <v>48</v>
      </c>
      <c r="E37" s="4" t="s">
        <v>42</v>
      </c>
    </row>
    <row r="38" spans="2:5" x14ac:dyDescent="0.25">
      <c r="B38" s="5">
        <v>44523</v>
      </c>
      <c r="C38" s="4" t="s">
        <v>43</v>
      </c>
      <c r="D38" s="6">
        <v>13.5</v>
      </c>
      <c r="E38" s="4" t="s">
        <v>26</v>
      </c>
    </row>
    <row r="39" spans="2:5" x14ac:dyDescent="0.25">
      <c r="B39" s="5">
        <v>44523</v>
      </c>
      <c r="C39" s="4" t="s">
        <v>44</v>
      </c>
      <c r="D39" s="6">
        <v>4.99</v>
      </c>
      <c r="E39" s="4" t="s">
        <v>33</v>
      </c>
    </row>
    <row r="40" spans="2:5" x14ac:dyDescent="0.25">
      <c r="B40" s="5">
        <v>44524</v>
      </c>
      <c r="C40" s="4" t="s">
        <v>45</v>
      </c>
      <c r="D40" s="6">
        <v>2.99</v>
      </c>
      <c r="E40" s="4" t="s">
        <v>26</v>
      </c>
    </row>
    <row r="41" spans="2:5" x14ac:dyDescent="0.25">
      <c r="B41" s="5">
        <v>44524</v>
      </c>
      <c r="C41" s="4" t="s">
        <v>46</v>
      </c>
      <c r="D41" s="6">
        <v>24.55</v>
      </c>
      <c r="E41" s="4" t="s">
        <v>26</v>
      </c>
    </row>
    <row r="42" spans="2:5" x14ac:dyDescent="0.25">
      <c r="B42" s="5">
        <v>44524</v>
      </c>
      <c r="C42" s="4" t="s">
        <v>47</v>
      </c>
      <c r="D42" s="6">
        <v>10.75</v>
      </c>
      <c r="E42" s="4" t="s">
        <v>26</v>
      </c>
    </row>
    <row r="43" spans="2:5" x14ac:dyDescent="0.25">
      <c r="B43" s="5">
        <v>44526</v>
      </c>
      <c r="C43" s="4" t="s">
        <v>48</v>
      </c>
      <c r="D43" s="6">
        <v>9.9499999999999993</v>
      </c>
      <c r="E43" s="4" t="s">
        <v>24</v>
      </c>
    </row>
    <row r="44" spans="2:5" x14ac:dyDescent="0.25">
      <c r="B44" s="5">
        <v>44526</v>
      </c>
      <c r="C44" s="4" t="s">
        <v>49</v>
      </c>
      <c r="D44" s="6">
        <v>13.23</v>
      </c>
      <c r="E44" s="4" t="s">
        <v>24</v>
      </c>
    </row>
    <row r="45" spans="2:5" x14ac:dyDescent="0.25">
      <c r="B45" s="5">
        <v>44526</v>
      </c>
      <c r="C45" s="4" t="s">
        <v>45</v>
      </c>
      <c r="D45" s="6">
        <v>2.99</v>
      </c>
      <c r="E45" s="4" t="s">
        <v>26</v>
      </c>
    </row>
    <row r="46" spans="2:5" x14ac:dyDescent="0.25">
      <c r="B46" s="5">
        <v>44526</v>
      </c>
      <c r="C46" s="4" t="s">
        <v>45</v>
      </c>
      <c r="D46" s="6">
        <v>2.99</v>
      </c>
      <c r="E46" s="4" t="s">
        <v>26</v>
      </c>
    </row>
    <row r="47" spans="2:5" x14ac:dyDescent="0.25">
      <c r="B47" s="5">
        <v>44526</v>
      </c>
      <c r="C47" s="4" t="s">
        <v>49</v>
      </c>
      <c r="D47" s="6">
        <v>12.17</v>
      </c>
      <c r="E47" s="4" t="s">
        <v>24</v>
      </c>
    </row>
    <row r="48" spans="2:5" x14ac:dyDescent="0.25">
      <c r="B48" s="5">
        <v>44526</v>
      </c>
      <c r="C48" s="4" t="s">
        <v>50</v>
      </c>
      <c r="D48" s="6">
        <v>1.99</v>
      </c>
      <c r="E48" s="4" t="s">
        <v>24</v>
      </c>
    </row>
    <row r="49" spans="2:5" x14ac:dyDescent="0.25">
      <c r="B49" s="5">
        <v>44526</v>
      </c>
      <c r="C49" s="4" t="s">
        <v>45</v>
      </c>
      <c r="D49" s="6">
        <v>2.99</v>
      </c>
      <c r="E49" s="4" t="s">
        <v>26</v>
      </c>
    </row>
    <row r="50" spans="2:5" x14ac:dyDescent="0.25">
      <c r="B50" s="5">
        <v>44526</v>
      </c>
      <c r="C50" s="4" t="s">
        <v>45</v>
      </c>
      <c r="D50" s="6">
        <v>2.99</v>
      </c>
      <c r="E50" s="4" t="s">
        <v>26</v>
      </c>
    </row>
    <row r="51" spans="2:5" x14ac:dyDescent="0.25">
      <c r="B51" s="5">
        <v>44526</v>
      </c>
      <c r="C51" s="4" t="s">
        <v>51</v>
      </c>
      <c r="D51" s="6">
        <v>11.6</v>
      </c>
      <c r="E51" s="4" t="s">
        <v>29</v>
      </c>
    </row>
    <row r="52" spans="2:5" x14ac:dyDescent="0.25">
      <c r="B52" s="5">
        <v>44526</v>
      </c>
      <c r="C52" s="4" t="s">
        <v>45</v>
      </c>
      <c r="D52" s="6">
        <v>2.99</v>
      </c>
      <c r="E52" s="4" t="s">
        <v>26</v>
      </c>
    </row>
    <row r="53" spans="2:5" x14ac:dyDescent="0.25">
      <c r="B53" s="5">
        <v>44526</v>
      </c>
      <c r="C53" s="4" t="s">
        <v>45</v>
      </c>
      <c r="D53" s="6">
        <v>2.99</v>
      </c>
      <c r="E53" s="4" t="s">
        <v>26</v>
      </c>
    </row>
    <row r="54" spans="2:5" x14ac:dyDescent="0.25">
      <c r="B54" s="5">
        <v>44526</v>
      </c>
      <c r="C54" s="4" t="s">
        <v>45</v>
      </c>
      <c r="D54" s="6">
        <v>2.99</v>
      </c>
      <c r="E54" s="4" t="s">
        <v>26</v>
      </c>
    </row>
    <row r="55" spans="2:5" x14ac:dyDescent="0.25">
      <c r="B55" s="5">
        <v>44526</v>
      </c>
      <c r="C55" s="4" t="s">
        <v>45</v>
      </c>
      <c r="D55" s="6">
        <v>2.99</v>
      </c>
      <c r="E55" s="4" t="s">
        <v>26</v>
      </c>
    </row>
    <row r="56" spans="2:5" x14ac:dyDescent="0.25">
      <c r="B56" s="5">
        <v>44526</v>
      </c>
      <c r="C56" s="4" t="s">
        <v>45</v>
      </c>
      <c r="D56" s="6">
        <v>2.99</v>
      </c>
      <c r="E56" s="4" t="s">
        <v>26</v>
      </c>
    </row>
    <row r="57" spans="2:5" x14ac:dyDescent="0.25">
      <c r="B57" s="5">
        <v>44526</v>
      </c>
      <c r="C57" s="4" t="s">
        <v>45</v>
      </c>
      <c r="D57" s="6">
        <v>2.99</v>
      </c>
      <c r="E57" s="4" t="s">
        <v>26</v>
      </c>
    </row>
    <row r="58" spans="2:5" x14ac:dyDescent="0.25">
      <c r="B58" s="5">
        <v>44529</v>
      </c>
      <c r="C58" s="4" t="s">
        <v>62</v>
      </c>
      <c r="D58" s="6">
        <v>84.68</v>
      </c>
      <c r="E58" s="4" t="s">
        <v>31</v>
      </c>
    </row>
    <row r="59" spans="2:5" x14ac:dyDescent="0.25">
      <c r="B59" s="5">
        <v>44530</v>
      </c>
      <c r="C59" s="4" t="s">
        <v>63</v>
      </c>
      <c r="D59" s="6">
        <v>96.75</v>
      </c>
      <c r="E59" s="4" t="s">
        <v>26</v>
      </c>
    </row>
    <row r="60" spans="2:5" x14ac:dyDescent="0.25">
      <c r="B60" s="5">
        <v>44530</v>
      </c>
      <c r="C60" s="4" t="s">
        <v>25</v>
      </c>
      <c r="D60" s="6">
        <v>2.15</v>
      </c>
      <c r="E60" s="4" t="s">
        <v>24</v>
      </c>
    </row>
    <row r="61" spans="2:5" x14ac:dyDescent="0.25">
      <c r="B61" s="5">
        <v>44530</v>
      </c>
      <c r="C61" s="4" t="s">
        <v>64</v>
      </c>
      <c r="D61" s="6">
        <v>90.94</v>
      </c>
      <c r="E61" s="4" t="s">
        <v>31</v>
      </c>
    </row>
    <row r="62" spans="2:5" x14ac:dyDescent="0.25">
      <c r="B62" s="5">
        <v>44530</v>
      </c>
      <c r="C62" s="4" t="s">
        <v>65</v>
      </c>
      <c r="D62" s="6">
        <v>222.38</v>
      </c>
      <c r="E62" s="4" t="s">
        <v>66</v>
      </c>
    </row>
    <row r="63" spans="2:5" x14ac:dyDescent="0.25">
      <c r="B63" s="5">
        <v>44531</v>
      </c>
      <c r="C63" s="4" t="s">
        <v>67</v>
      </c>
      <c r="D63" s="6">
        <v>127</v>
      </c>
      <c r="E63" s="4" t="s">
        <v>66</v>
      </c>
    </row>
    <row r="64" spans="2:5" x14ac:dyDescent="0.25">
      <c r="B64" s="5">
        <v>44531</v>
      </c>
      <c r="C64" s="4" t="s">
        <v>52</v>
      </c>
      <c r="D64" s="6">
        <v>69.989999999999995</v>
      </c>
      <c r="E64" s="4" t="s">
        <v>33</v>
      </c>
    </row>
    <row r="65" spans="2:5" x14ac:dyDescent="0.25">
      <c r="B65" s="5">
        <v>44532</v>
      </c>
      <c r="C65" s="4" t="s">
        <v>27</v>
      </c>
      <c r="D65" s="6">
        <v>83.76</v>
      </c>
      <c r="E65" s="4" t="s">
        <v>26</v>
      </c>
    </row>
    <row r="66" spans="2:5" x14ac:dyDescent="0.25">
      <c r="B66" s="5">
        <v>44532</v>
      </c>
      <c r="C66" s="4" t="s">
        <v>9</v>
      </c>
      <c r="D66" s="6">
        <v>44</v>
      </c>
      <c r="E66" s="4" t="s">
        <v>33</v>
      </c>
    </row>
    <row r="67" spans="2:5" x14ac:dyDescent="0.25">
      <c r="B67" s="5">
        <v>44532</v>
      </c>
      <c r="C67" s="4" t="s">
        <v>39</v>
      </c>
      <c r="D67" s="6">
        <v>2</v>
      </c>
      <c r="E67" s="4" t="s">
        <v>40</v>
      </c>
    </row>
    <row r="68" spans="2:5" x14ac:dyDescent="0.25">
      <c r="B68" s="5">
        <v>44533</v>
      </c>
      <c r="C68" s="4" t="s">
        <v>25</v>
      </c>
      <c r="D68" s="6">
        <v>3.76</v>
      </c>
      <c r="E68" s="4" t="s">
        <v>24</v>
      </c>
    </row>
    <row r="69" spans="2:5" x14ac:dyDescent="0.25">
      <c r="B69" s="5">
        <v>44536</v>
      </c>
      <c r="C69" s="4" t="s">
        <v>68</v>
      </c>
      <c r="D69" s="6">
        <v>20</v>
      </c>
      <c r="E69" s="4" t="s">
        <v>26</v>
      </c>
    </row>
    <row r="70" spans="2:5" x14ac:dyDescent="0.25">
      <c r="B70" s="5">
        <v>44536</v>
      </c>
      <c r="C70" s="4" t="s">
        <v>57</v>
      </c>
      <c r="D70" s="6">
        <v>135.83000000000001</v>
      </c>
      <c r="E70" s="4" t="s">
        <v>33</v>
      </c>
    </row>
    <row r="71" spans="2:5" x14ac:dyDescent="0.25">
      <c r="B71" s="5">
        <v>44536</v>
      </c>
      <c r="C71" s="4" t="s">
        <v>69</v>
      </c>
      <c r="D71" s="6">
        <v>19.989999999999998</v>
      </c>
      <c r="E71" s="4" t="s">
        <v>40</v>
      </c>
    </row>
    <row r="72" spans="2:5" x14ac:dyDescent="0.25">
      <c r="B72" s="5">
        <v>44536</v>
      </c>
      <c r="C72" s="4" t="s">
        <v>70</v>
      </c>
      <c r="D72" s="6">
        <v>32.72</v>
      </c>
      <c r="E72" s="4" t="s">
        <v>40</v>
      </c>
    </row>
    <row r="73" spans="2:5" x14ac:dyDescent="0.25">
      <c r="B73" s="5">
        <v>44536</v>
      </c>
      <c r="C73" s="4" t="s">
        <v>71</v>
      </c>
      <c r="D73" s="6">
        <v>80</v>
      </c>
      <c r="E73" s="4" t="s">
        <v>29</v>
      </c>
    </row>
    <row r="74" spans="2:5" x14ac:dyDescent="0.25">
      <c r="B74" s="5">
        <v>44537</v>
      </c>
      <c r="C74" s="4" t="s">
        <v>72</v>
      </c>
      <c r="D74" s="6">
        <v>429.6</v>
      </c>
      <c r="E74" s="4" t="s">
        <v>40</v>
      </c>
    </row>
    <row r="75" spans="2:5" x14ac:dyDescent="0.25">
      <c r="B75" s="5">
        <v>44537</v>
      </c>
      <c r="C75" s="4" t="s">
        <v>73</v>
      </c>
      <c r="D75" s="6">
        <v>15</v>
      </c>
      <c r="E75" s="4" t="s">
        <v>40</v>
      </c>
    </row>
    <row r="76" spans="2:5" x14ac:dyDescent="0.25">
      <c r="B76" s="5">
        <v>44537</v>
      </c>
      <c r="C76" s="4" t="s">
        <v>74</v>
      </c>
      <c r="D76" s="6">
        <v>90.27</v>
      </c>
      <c r="E76" s="4" t="s">
        <v>40</v>
      </c>
    </row>
    <row r="77" spans="2:5" x14ac:dyDescent="0.25">
      <c r="B77" s="5">
        <v>44539</v>
      </c>
      <c r="C77" s="4" t="s">
        <v>38</v>
      </c>
      <c r="D77" s="6">
        <v>1.99</v>
      </c>
      <c r="E77" s="4" t="s">
        <v>33</v>
      </c>
    </row>
    <row r="78" spans="2:5" x14ac:dyDescent="0.25">
      <c r="B78" s="5">
        <v>44543</v>
      </c>
      <c r="C78" s="4" t="s">
        <v>27</v>
      </c>
      <c r="D78" s="6">
        <v>35.39</v>
      </c>
      <c r="E78" s="4" t="s">
        <v>29</v>
      </c>
    </row>
    <row r="79" spans="2:5" x14ac:dyDescent="0.25">
      <c r="B79" s="5">
        <v>44543</v>
      </c>
      <c r="C79" s="4" t="s">
        <v>23</v>
      </c>
      <c r="D79" s="6">
        <v>10.06</v>
      </c>
      <c r="E79" s="4" t="s">
        <v>24</v>
      </c>
    </row>
    <row r="80" spans="2:5" x14ac:dyDescent="0.25">
      <c r="B80" s="5">
        <v>44543</v>
      </c>
      <c r="C80" s="4" t="s">
        <v>25</v>
      </c>
      <c r="D80" s="6">
        <v>2.15</v>
      </c>
      <c r="E80" s="4" t="s">
        <v>24</v>
      </c>
    </row>
    <row r="81" spans="2:5" x14ac:dyDescent="0.25">
      <c r="B81" s="5">
        <v>44543</v>
      </c>
      <c r="C81" s="4" t="s">
        <v>70</v>
      </c>
      <c r="D81" s="6">
        <v>34.229999999999997</v>
      </c>
      <c r="E81" s="4" t="s">
        <v>40</v>
      </c>
    </row>
    <row r="82" spans="2:5" x14ac:dyDescent="0.25">
      <c r="B82" s="5">
        <v>44543</v>
      </c>
      <c r="C82" s="4" t="s">
        <v>62</v>
      </c>
      <c r="D82" s="6">
        <v>45.83</v>
      </c>
      <c r="E82" s="4" t="s">
        <v>31</v>
      </c>
    </row>
    <row r="83" spans="2:5" x14ac:dyDescent="0.25">
      <c r="B83" s="5">
        <v>44544</v>
      </c>
      <c r="C83" s="4" t="s">
        <v>4</v>
      </c>
      <c r="D83" s="6">
        <v>9.99</v>
      </c>
      <c r="E83" s="4" t="s">
        <v>33</v>
      </c>
    </row>
    <row r="84" spans="2:5" x14ac:dyDescent="0.25">
      <c r="B84" s="5">
        <v>44545</v>
      </c>
      <c r="C84" s="4" t="s">
        <v>27</v>
      </c>
      <c r="D84" s="6">
        <v>38.9</v>
      </c>
      <c r="E84" s="4" t="s">
        <v>29</v>
      </c>
    </row>
    <row r="85" spans="2:5" x14ac:dyDescent="0.25">
      <c r="B85" s="5">
        <v>44545</v>
      </c>
      <c r="C85" s="4" t="s">
        <v>25</v>
      </c>
      <c r="D85" s="6">
        <v>2.15</v>
      </c>
      <c r="E85" s="4" t="s">
        <v>24</v>
      </c>
    </row>
    <row r="86" spans="2:5" x14ac:dyDescent="0.25">
      <c r="B86" s="5">
        <v>44546</v>
      </c>
      <c r="C86" s="4" t="s">
        <v>5</v>
      </c>
      <c r="D86" s="6">
        <v>6.99</v>
      </c>
      <c r="E86" s="4" t="s">
        <v>33</v>
      </c>
    </row>
    <row r="87" spans="2:5" x14ac:dyDescent="0.25">
      <c r="B87" s="5">
        <v>44546</v>
      </c>
      <c r="C87" s="4" t="s">
        <v>75</v>
      </c>
      <c r="D87" s="6">
        <v>250</v>
      </c>
      <c r="E87" s="4" t="s">
        <v>76</v>
      </c>
    </row>
    <row r="88" spans="2:5" x14ac:dyDescent="0.25">
      <c r="B88" s="5">
        <v>44546</v>
      </c>
      <c r="C88" s="4" t="s">
        <v>25</v>
      </c>
      <c r="D88" s="6">
        <v>1.88</v>
      </c>
      <c r="E88" s="4" t="s">
        <v>24</v>
      </c>
    </row>
    <row r="89" spans="2:5" x14ac:dyDescent="0.25">
      <c r="B89" s="5">
        <v>44550</v>
      </c>
      <c r="C89" s="4" t="s">
        <v>77</v>
      </c>
      <c r="D89" s="6">
        <v>8.49</v>
      </c>
      <c r="E89" s="4" t="s">
        <v>26</v>
      </c>
    </row>
    <row r="90" spans="2:5" x14ac:dyDescent="0.25">
      <c r="B90" s="5">
        <v>44550</v>
      </c>
      <c r="C90" s="4" t="s">
        <v>78</v>
      </c>
      <c r="D90" s="6">
        <v>24.07</v>
      </c>
      <c r="E90" s="4" t="s">
        <v>24</v>
      </c>
    </row>
    <row r="91" spans="2:5" x14ac:dyDescent="0.25">
      <c r="B91" s="5">
        <v>44550</v>
      </c>
      <c r="C91" s="4" t="s">
        <v>38</v>
      </c>
      <c r="D91" s="6">
        <v>2.99</v>
      </c>
      <c r="E91" s="4" t="s">
        <v>33</v>
      </c>
    </row>
    <row r="92" spans="2:5" x14ac:dyDescent="0.25">
      <c r="B92" s="5">
        <v>44550</v>
      </c>
      <c r="C92" s="4" t="s">
        <v>79</v>
      </c>
      <c r="D92" s="6">
        <v>28.38</v>
      </c>
      <c r="E92" s="4" t="s">
        <v>26</v>
      </c>
    </row>
    <row r="93" spans="2:5" x14ac:dyDescent="0.25">
      <c r="B93" s="5">
        <v>44550</v>
      </c>
      <c r="C93" s="4" t="s">
        <v>34</v>
      </c>
      <c r="D93" s="6">
        <v>40.01</v>
      </c>
      <c r="E93" s="4" t="s">
        <v>26</v>
      </c>
    </row>
    <row r="94" spans="2:5" x14ac:dyDescent="0.25">
      <c r="B94" s="5">
        <v>44552</v>
      </c>
      <c r="C94" s="4" t="s">
        <v>44</v>
      </c>
      <c r="D94" s="6">
        <v>4.99</v>
      </c>
      <c r="E94" s="4" t="s">
        <v>33</v>
      </c>
    </row>
    <row r="95" spans="2:5" x14ac:dyDescent="0.25">
      <c r="B95" s="5">
        <v>44551</v>
      </c>
      <c r="C95" s="4" t="s">
        <v>80</v>
      </c>
      <c r="D95" s="6">
        <v>9.99</v>
      </c>
      <c r="E95" s="4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Regular Costs</vt:lpstr>
      <vt:lpstr>Nov &amp; Dec 2021</vt:lpstr>
      <vt:lpstr>Analysis</vt:lpstr>
      <vt:lpstr>Analysis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abdullah</dc:creator>
  <cp:lastModifiedBy>ihab almosalami</cp:lastModifiedBy>
  <dcterms:created xsi:type="dcterms:W3CDTF">2021-07-24T01:49:53Z</dcterms:created>
  <dcterms:modified xsi:type="dcterms:W3CDTF">2021-12-28T19:00:01Z</dcterms:modified>
</cp:coreProperties>
</file>